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guos" sheetId="1" r:id="rId4"/>
    <sheet state="visible" name="Nuevos" sheetId="2" r:id="rId5"/>
    <sheet state="visible" name="Prime" sheetId="3" r:id="rId6"/>
    <sheet state="visible" name="Level 360" sheetId="4" r:id="rId7"/>
    <sheet state="visible" name="Camilo" sheetId="5" r:id="rId8"/>
    <sheet state="visible" name="Unificado" sheetId="6" r:id="rId9"/>
    <sheet state="visible" name="Hoja" sheetId="7" r:id="rId10"/>
  </sheets>
  <definedNames>
    <definedName hidden="1" localSheetId="0" name="_xlnm._FilterDatabase">Antiguos!$A$1:$Z$1001</definedName>
    <definedName hidden="1" localSheetId="1" name="_xlnm._FilterDatabase">Nuevos!$A$1:$Z$1015</definedName>
    <definedName hidden="1" localSheetId="2" name="_xlnm._FilterDatabase">Prime!$A$1:$U$59</definedName>
    <definedName hidden="1" localSheetId="3" name="_xlnm._FilterDatabase">'Level 360'!$A$1:$Z$994</definedName>
    <definedName hidden="1" localSheetId="4" name="_xlnm._FilterDatabase">Camilo!$A$1:$U$12</definedName>
    <definedName hidden="1" localSheetId="0" name="Z_98864304_AF39_4EE8_922A_FFA9F96834CD_.wvu.FilterData">Antiguos!$A$1:$U$868</definedName>
    <definedName hidden="1" localSheetId="1" name="Z_98864304_AF39_4EE8_922A_FFA9F96834CD_.wvu.FilterData">Nuevos!$A$1:$T$104</definedName>
    <definedName hidden="1" localSheetId="2" name="Z_98864304_AF39_4EE8_922A_FFA9F96834CD_.wvu.FilterData">Prime!$A$1:$T$11</definedName>
    <definedName hidden="1" localSheetId="0" name="Z_81EE57B6_66E7_4671_9BBB_CA54008BD710_.wvu.FilterData">Antiguos!$A$1:$U$60</definedName>
    <definedName hidden="1" localSheetId="0" name="Z_F1C299F4_F4BD_41E2_A61E_A976B75D5B15_.wvu.FilterData">Antiguos!$A$1:$U$868</definedName>
    <definedName hidden="1" localSheetId="0" name="Z_0C5CB766_79BA_4419_A99C_CE29D23D3471_.wvu.FilterData">Antiguos!$A$1:$U$60</definedName>
    <definedName hidden="1" localSheetId="0" name="Z_009EECFC_DAEA_473A_B3A4_5443A73F16BC_.wvu.FilterData">Antiguos!$A$1:$U$60</definedName>
    <definedName hidden="1" localSheetId="1" name="Z_009EECFC_DAEA_473A_B3A4_5443A73F16BC_.wvu.FilterData">Nuevos!$A$1:$T$104</definedName>
    <definedName hidden="1" localSheetId="2" name="Z_009EECFC_DAEA_473A_B3A4_5443A73F16BC_.wvu.FilterData">Prime!$A$1:$T$40</definedName>
    <definedName hidden="1" localSheetId="0" name="Z_86635392_0219_4E36_A900_E45102D87378_.wvu.FilterData">Antiguos!$A$1:$U$60</definedName>
    <definedName hidden="1" localSheetId="0" name="Z_5CAF20FD_3579_4B38_97EE_7C78EB9D2BF4_.wvu.FilterData">Antiguos!$A$1:$U$60</definedName>
    <definedName hidden="1" localSheetId="0" name="Z_9AF38C0A_9770_49B6_AE7A_4B78D42B3915_.wvu.FilterData">Antiguos!$A$1:$U$60</definedName>
    <definedName hidden="1" localSheetId="0" name="Z_894FDF7D_FB71_4D92_BF0F_84F25232B3B0_.wvu.FilterData">Antiguos!$A$1:$U$60</definedName>
    <definedName hidden="1" localSheetId="1" name="Z_894FDF7D_FB71_4D92_BF0F_84F25232B3B0_.wvu.FilterData">Nuevos!$A$1:$T$59</definedName>
    <definedName hidden="1" localSheetId="2" name="Z_894FDF7D_FB71_4D92_BF0F_84F25232B3B0_.wvu.FilterData">Prime!$A$1:$T$40</definedName>
    <definedName hidden="1" localSheetId="0" name="Z_5CFFC52C_C0F6_4961_B11A_E0F09DFBC1B5_.wvu.FilterData">Antiguos!$A$1:$U$60</definedName>
    <definedName hidden="1" localSheetId="0" name="Z_13C5CAB1_2405_4D56_B35C_CB20D0853C06_.wvu.FilterData">Antiguos!$A$1:$U$60</definedName>
    <definedName hidden="1" localSheetId="0" name="Z_BC06ED92_1176_4B6A_B0A8_889C59223381_.wvu.FilterData">Antiguos!$A$1:$U$60</definedName>
    <definedName hidden="1" localSheetId="0" name="Z_59F4AB0D_6ABD_44DA_B6B1_B84B6A7D671A_.wvu.FilterData">Antiguos!$A$1:$U$868</definedName>
    <definedName hidden="1" localSheetId="0" name="Z_C6DA5E86_A523_4D32_A786_370B8D1A2190_.wvu.FilterData">Antiguos!$A$1:$U$60</definedName>
    <definedName hidden="1" localSheetId="0" name="Z_D9DC8239_FF36_474A_883A_9320A116001D_.wvu.FilterData">Antiguos!$A$1:$U$868</definedName>
    <definedName hidden="1" localSheetId="0" name="Z_70F4BBED_E6C4_44DB_9BAE_40BE6DD2E7F8_.wvu.FilterData">Antiguos!$A$1:$U$60</definedName>
    <definedName hidden="1" localSheetId="1" name="Z_70F4BBED_E6C4_44DB_9BAE_40BE6DD2E7F8_.wvu.FilterData">Nuevos!$A$1:$U$1015</definedName>
    <definedName hidden="1" localSheetId="2" name="Z_70F4BBED_E6C4_44DB_9BAE_40BE6DD2E7F8_.wvu.FilterData">Prime!$A$1:$T$11</definedName>
    <definedName hidden="1" localSheetId="0" name="Z_8F4697A8_9B3B_4A0C_8541_402E1B0E49F2_.wvu.FilterData">Antiguos!$A$1:$U$60</definedName>
    <definedName hidden="1" localSheetId="1" name="Z_8F4697A8_9B3B_4A0C_8541_402E1B0E49F2_.wvu.FilterData">Nuevos!$A$1:$T$104</definedName>
    <definedName hidden="1" localSheetId="2" name="Z_8F4697A8_9B3B_4A0C_8541_402E1B0E49F2_.wvu.FilterData">Prime!$A$1:$T$11</definedName>
    <definedName hidden="1" localSheetId="0" name="Z_9E1C7BC5_6722_4997_8385_C5CAAEEEF034_.wvu.FilterData">Antiguos!$A$1:$U$60</definedName>
    <definedName hidden="1" localSheetId="1" name="Z_9E1C7BC5_6722_4997_8385_C5CAAEEEF034_.wvu.FilterData">Nuevos!$A$1:$T$104</definedName>
    <definedName hidden="1" localSheetId="2" name="Z_9E1C7BC5_6722_4997_8385_C5CAAEEEF034_.wvu.FilterData">Prime!$A$1:$T$40</definedName>
    <definedName hidden="1" localSheetId="0" name="Z_3CCA923D_9A87_4ADF_B705_45CFE672D442_.wvu.FilterData">Antiguos!$A$1:$U$868</definedName>
    <definedName hidden="1" localSheetId="1" name="Z_3CCA923D_9A87_4ADF_B705_45CFE672D442_.wvu.FilterData">Nuevos!$A$1:$T$104</definedName>
    <definedName hidden="1" localSheetId="2" name="Z_3CCA923D_9A87_4ADF_B705_45CFE672D442_.wvu.FilterData">Prime!$A$1:$T$11</definedName>
    <definedName hidden="1" localSheetId="0" name="Z_1CBC2092_26F5_44CA_B082_C8B7AA04C070_.wvu.FilterData">Antiguos!$A$1:$U$868</definedName>
    <definedName hidden="1" localSheetId="0" name="Z_E6636866_3CB3_4EEE_965A_B696AC9D714E_.wvu.FilterData">Antiguos!$A$1:$U$60</definedName>
    <definedName hidden="1" localSheetId="0" name="Z_D20045A7_0E24_4016_9BB2_CC402E6A1C1E_.wvu.FilterData">Antiguos!$A$1:$U$60</definedName>
  </definedNames>
  <calcPr/>
  <customWorkbookViews>
    <customWorkbookView activeSheetId="0" maximized="1" windowHeight="0" windowWidth="0" guid="{5CAF20FD-3579-4B38-97EE-7C78EB9D2BF4}" name="Filtro 17"/>
    <customWorkbookView activeSheetId="0" maximized="1" windowHeight="0" windowWidth="0" guid="{0C5CB766-79BA-4419-A99C-CE29D23D3471}" name="Filtro 18"/>
    <customWorkbookView activeSheetId="0" maximized="1" windowHeight="0" windowWidth="0" guid="{D20045A7-0E24-4016-9BB2-CC402E6A1C1E}" name="Filtro 15"/>
    <customWorkbookView activeSheetId="0" maximized="1" windowHeight="0" windowWidth="0" guid="{5CFFC52C-C0F6-4961-B11A-E0F09DFBC1B5}" name="Filtro 16"/>
    <customWorkbookView activeSheetId="0" maximized="1" windowHeight="0" windowWidth="0" guid="{D9DC8239-FF36-474A-883A-9320A116001D}" name="Filtro 8"/>
    <customWorkbookView activeSheetId="0" maximized="1" windowHeight="0" windowWidth="0" guid="{BC06ED92-1176-4B6A-B0A8-889C59223381}" name="Filtro 13"/>
    <customWorkbookView activeSheetId="0" maximized="1" windowHeight="0" windowWidth="0" guid="{1CBC2092-26F5-44CA-B082-C8B7AA04C070}" name="Filtro 9"/>
    <customWorkbookView activeSheetId="0" maximized="1" windowHeight="0" windowWidth="0" guid="{81EE57B6-66E7-4671-9BBB-CA54008BD710}" name="Filtro 14"/>
    <customWorkbookView activeSheetId="0" maximized="1" windowHeight="0" windowWidth="0" guid="{86635392-0219-4E36-A900-E45102D87378}" name="Filtro 11"/>
    <customWorkbookView activeSheetId="0" maximized="1" windowHeight="0" windowWidth="0" guid="{E6636866-3CB3-4EEE-965A-B696AC9D714E}" name="Filtro 22"/>
    <customWorkbookView activeSheetId="0" maximized="1" windowHeight="0" windowWidth="0" guid="{C6DA5E86-A523-4D32-A786-370B8D1A2190}" name="Filtro 12"/>
    <customWorkbookView activeSheetId="0" maximized="1" windowHeight="0" windowWidth="0" guid="{F1C299F4-F4BD-41E2-A61E-A976B75D5B15}" name="Filtro 20"/>
    <customWorkbookView activeSheetId="0" maximized="1" windowHeight="0" windowWidth="0" guid="{9AF38C0A-9770-49B6-AE7A-4B78D42B3915}" name="Filtro 21"/>
    <customWorkbookView activeSheetId="0" maximized="1" windowHeight="0" windowWidth="0" guid="{59F4AB0D-6ABD-44DA-B6B1-B84B6A7D671A}" name="Filtro 10"/>
    <customWorkbookView activeSheetId="0" maximized="1" windowHeight="0" windowWidth="0" guid="{8F4697A8-9B3B-4A0C-8541-402E1B0E49F2}" name="Filtro 4"/>
    <customWorkbookView activeSheetId="0" maximized="1" windowHeight="0" windowWidth="0" guid="{9E1C7BC5-6722-4997-8385-C5CAAEEEF034}" name="Filtro 5"/>
    <customWorkbookView activeSheetId="0" maximized="1" windowHeight="0" windowWidth="0" guid="{009EECFC-DAEA-473A-B3A4-5443A73F16BC}" name="Filtro 6"/>
    <customWorkbookView activeSheetId="0" maximized="1" windowHeight="0" windowWidth="0" guid="{894FDF7D-FB71-4D92-BF0F-84F25232B3B0}" name="Filtro 7"/>
    <customWorkbookView activeSheetId="0" maximized="1" windowHeight="0" windowWidth="0" guid="{3CCA923D-9A87-4ADF-B705-45CFE672D442}" name="Filtro 1"/>
    <customWorkbookView activeSheetId="0" maximized="1" windowHeight="0" windowWidth="0" guid="{13C5CAB1-2405-4D56-B35C-CB20D0853C06}" name="Filtro 19"/>
    <customWorkbookView activeSheetId="0" maximized="1" windowHeight="0" windowWidth="0" guid="{70F4BBED-E6C4-44DB-9BAE-40BE6DD2E7F8}" name="Filtro 2"/>
    <customWorkbookView activeSheetId="0" maximized="1" windowHeight="0" windowWidth="0" guid="{98864304-AF39-4EE8-922A-FFA9F96834CD}" name="Filtro 3"/>
  </customWorkbookViews>
  <extLst>
    <ext uri="GoogleSheetsCustomDataVersion2">
      <go:sheetsCustomData xmlns:go="http://customooxmlschemas.google.com/" r:id="rId11" roundtripDataChecksum="63nHaaSYFN9S9idc6M2SP449bcTZu1V0035WgdaeVmw="/>
    </ext>
  </extLst>
</workbook>
</file>

<file path=xl/sharedStrings.xml><?xml version="1.0" encoding="utf-8"?>
<sst xmlns="http://schemas.openxmlformats.org/spreadsheetml/2006/main" count="4540" uniqueCount="1019">
  <si>
    <t>ºº</t>
  </si>
  <si>
    <t>DOCUMENTO</t>
  </si>
  <si>
    <t>NOMBRES Y APELLIDOS</t>
  </si>
  <si>
    <t>FECHA DE NACIMIENTO</t>
  </si>
  <si>
    <t>TELEFÓNO</t>
  </si>
  <si>
    <t>CORREO</t>
  </si>
  <si>
    <t>DIRECCIÓN</t>
  </si>
  <si>
    <t>EDAD</t>
  </si>
  <si>
    <t>SEXO</t>
  </si>
  <si>
    <t>EMPRESA</t>
  </si>
  <si>
    <t>CONTRATO</t>
  </si>
  <si>
    <t>TURNO</t>
  </si>
  <si>
    <t>CARGO</t>
  </si>
  <si>
    <t>AREA</t>
  </si>
  <si>
    <t>FECHA INGRESO</t>
  </si>
  <si>
    <t>PERIODO DE PRUEBA</t>
  </si>
  <si>
    <t>FECHA RETIRO</t>
  </si>
  <si>
    <t>ESTADO</t>
  </si>
  <si>
    <t>MENSUAL</t>
  </si>
  <si>
    <t>QUINCENAL</t>
  </si>
  <si>
    <t>Nº CUENTAS BANCARIAS</t>
  </si>
  <si>
    <t>PPT</t>
  </si>
  <si>
    <t>ABRAHAM ANTONIO GÓMEZ DAVIS</t>
  </si>
  <si>
    <t>supervisiondechats@ambitzco</t>
  </si>
  <si>
    <t>Calle 84 Sur # 96 -85 Conj Aliso Brr: Parques De Bogotá Bosa</t>
  </si>
  <si>
    <t>M</t>
  </si>
  <si>
    <t>ROMERO SAS</t>
  </si>
  <si>
    <t>Fijo</t>
  </si>
  <si>
    <t>Noche</t>
  </si>
  <si>
    <t xml:space="preserve">Supervisor </t>
  </si>
  <si>
    <t>Administrativa</t>
  </si>
  <si>
    <t>RETIRADO</t>
  </si>
  <si>
    <t>ADALBERTO JUNIOR RENDILES HERNANDEZ</t>
  </si>
  <si>
    <t>adalberto08rendiles@gmailcom</t>
  </si>
  <si>
    <t>Calle 56H Carrera 95A 21 Br: el anhelo bosa</t>
  </si>
  <si>
    <t>DML SAS</t>
  </si>
  <si>
    <t>Obra labor</t>
  </si>
  <si>
    <t>Completo</t>
  </si>
  <si>
    <t>Auditor</t>
  </si>
  <si>
    <t>ACTIVO</t>
  </si>
  <si>
    <t>3115932479 nequi</t>
  </si>
  <si>
    <t>ALEJANDRO JOSÉ RAMÍREZ GONZALEZ</t>
  </si>
  <si>
    <t>aramirez@ambitzco</t>
  </si>
  <si>
    <t>Carrera 95 B ·58-34 Sur Bosa El Anhelo</t>
  </si>
  <si>
    <t>15/9/2024</t>
  </si>
  <si>
    <t>ALONSO ALEJANDRO ADÁMES GARRIDO</t>
  </si>
  <si>
    <t>alonsoadames@gmailcom</t>
  </si>
  <si>
    <t>Carrera 95A Calle 58 Sur # 57A - 85S Bosa Santa Fe</t>
  </si>
  <si>
    <t>Mañana</t>
  </si>
  <si>
    <t xml:space="preserve">Soporte </t>
  </si>
  <si>
    <t>CC</t>
  </si>
  <si>
    <t>ALVARO ARMANDO SUAREZ CANTOR</t>
  </si>
  <si>
    <t>310 3426491</t>
  </si>
  <si>
    <t>logisticacol1@gmailcom</t>
  </si>
  <si>
    <t>Carrera 80H # 63 - 53 Sur</t>
  </si>
  <si>
    <t>Ruta</t>
  </si>
  <si>
    <t>Conductor</t>
  </si>
  <si>
    <t>30/8/2024</t>
  </si>
  <si>
    <t>ANDRES ALEJANDRO CASANOVA GARCIA</t>
  </si>
  <si>
    <t>andrscsnv20@gmailcom</t>
  </si>
  <si>
    <t>Transversal 70 #59C Sur 25 Madelena Conjunto Residencial El Paraiso</t>
  </si>
  <si>
    <t>Operador</t>
  </si>
  <si>
    <t>Operativa</t>
  </si>
  <si>
    <t>Puntaje</t>
  </si>
  <si>
    <t>ANLLY MILENA GOMEZ PARRA</t>
  </si>
  <si>
    <t>anllymilena38@gmailcom</t>
  </si>
  <si>
    <t>Carrera 80K # 72A - 47 Sur Brr: Laureles Bosa</t>
  </si>
  <si>
    <t>F</t>
  </si>
  <si>
    <t>Servicios generales</t>
  </si>
  <si>
    <t>29/7/2025</t>
  </si>
  <si>
    <t>ARLIS ELAINER MOLINA TOVAR</t>
  </si>
  <si>
    <t>molinaarlis99@gmailcom</t>
  </si>
  <si>
    <t>Carera 35B #56F-40 Sur Bosa El Anhelo</t>
  </si>
  <si>
    <t>Tarde</t>
  </si>
  <si>
    <t>ARNALDO JOSE GUERRERO HERNANDEZ</t>
  </si>
  <si>
    <t>arnal24jose@gmailcom</t>
  </si>
  <si>
    <t>Carrera 88 F Bis #52-24 Bosala Liobertad</t>
  </si>
  <si>
    <t>BETSY KATHERINE VARGAS PINEDA</t>
  </si>
  <si>
    <t>nonalindakatabkvp@gmailcom</t>
  </si>
  <si>
    <t>Conjunto prados de kennedy To 3 Apto 302</t>
  </si>
  <si>
    <t>Administrativo</t>
  </si>
  <si>
    <t>31/12/2024</t>
  </si>
  <si>
    <t>CESAR ALEJANDRO RICO RAMIREZ</t>
  </si>
  <si>
    <t>2cesaralejandro9@gmailcom</t>
  </si>
  <si>
    <t>Calle 58 # 95 - 04 Br el anhelo bosa</t>
  </si>
  <si>
    <t>22963493693 b/bia</t>
  </si>
  <si>
    <t>CLEIDYS NEREIDA BRAVO MOLERO</t>
  </si>
  <si>
    <t>cleidysbravomolero@gmailcom</t>
  </si>
  <si>
    <t>Calle 58 A Sur 88 F 24 Bosa Libertad</t>
  </si>
  <si>
    <t>Prestacion de servicios</t>
  </si>
  <si>
    <t>DEIBY ALEJANDRO RAMIREZ ROCA</t>
  </si>
  <si>
    <t>deiby7404@gmailcom</t>
  </si>
  <si>
    <t>Calle 57 C #98 C 27 Bosa Santa Fe</t>
  </si>
  <si>
    <t>DEIVY JESUS FUENTES ESCALONA</t>
  </si>
  <si>
    <t>deivygrupoempresarial@gmailcom</t>
  </si>
  <si>
    <t>Calle 58 A Sur 88 F 24 Bosa Santa Fe</t>
  </si>
  <si>
    <t>15/10/2024</t>
  </si>
  <si>
    <t>DIANA ALEXANDRA GUTIERREZ ROMERO</t>
  </si>
  <si>
    <t>gutierrrdiana@gmailcom</t>
  </si>
  <si>
    <t>Carera 81 F #68-09 Sur Bosa Palestina</t>
  </si>
  <si>
    <t>EDUARDO JUNIOR BARROS BRITO</t>
  </si>
  <si>
    <t>ejuniorbarros@uniguajira,edu,co</t>
  </si>
  <si>
    <t>Cra 93a # 54d sur 24 Brr: bosa porvenir</t>
  </si>
  <si>
    <t>24123025890 bcsc</t>
  </si>
  <si>
    <t>EDWIN JOSE ROMERO FERRER</t>
  </si>
  <si>
    <t>edwinromero210794@gmailcom</t>
  </si>
  <si>
    <t>Cr 81 F #68 - 09 Sur Bosa Palestina</t>
  </si>
  <si>
    <t>ELIECER SEGUNDO RODRIGUEZ REYES</t>
  </si>
  <si>
    <t>rodriguezeliecer403@gmailcom</t>
  </si>
  <si>
    <t>Calle 71 sur # 99a 50 Br bosa el recreo conjunto condado de la sabana 2</t>
  </si>
  <si>
    <t>ELISABETH RODRÍGUEZ GARZON</t>
  </si>
  <si>
    <t>elizabethrodriguez70@hotmailcom</t>
  </si>
  <si>
    <t>AV 68 # 5 17 Porto Americas Kennedy</t>
  </si>
  <si>
    <t>Gerente general</t>
  </si>
  <si>
    <t>24104088946 bcsc</t>
  </si>
  <si>
    <t>CI-V</t>
  </si>
  <si>
    <t>ENRIQUE JOSÉ ESPINOZA ROMERO</t>
  </si>
  <si>
    <t>enriqueespinoza0795@gmailcom</t>
  </si>
  <si>
    <t>Carrera 98 #57C 03 Sur Bosa Santa Fe</t>
  </si>
  <si>
    <t>EURIT JOSE ROMERO FERRER</t>
  </si>
  <si>
    <t>euritromero@gmailcom</t>
  </si>
  <si>
    <t>EVELY ANDREINA MENDEZ CARRILLO</t>
  </si>
  <si>
    <t>mendezevely0@gmailcom</t>
  </si>
  <si>
    <t>FERLEIDIS ANTONIETA ANDRADE PARRA</t>
  </si>
  <si>
    <t>fernaantonieta@hotmailcom</t>
  </si>
  <si>
    <t>Calle 56F Sur 91C-10 Bosa Caldas</t>
  </si>
  <si>
    <t>GLEIMAR LISSAETH SOTO LEAL</t>
  </si>
  <si>
    <t>gleysoto23@gmailcom</t>
  </si>
  <si>
    <t>Bosa El Anhelo Carrera 97A #57-00 Sur</t>
  </si>
  <si>
    <t>GRABIELA ALEXANDRA GIL BASTIDAS</t>
  </si>
  <si>
    <t>grabielagil26@gmailcom</t>
  </si>
  <si>
    <t>Calle 56 H Sur 95 A - 04 Bosa El Anhelo</t>
  </si>
  <si>
    <t>HERMANN ALBERTO VALLES GAMEZ</t>
  </si>
  <si>
    <t>vallessalberto97@gmailcom</t>
  </si>
  <si>
    <t>JAIME GUSTAVO CASTILLO SANCHEZ</t>
  </si>
  <si>
    <t>jaimecastilloamo@gmailcom</t>
  </si>
  <si>
    <t>Crrera 95 A Número 57A 85Sur Bosa Anhelo</t>
  </si>
  <si>
    <t>JESUS ANGEL RAMIREZ GONZALEZ</t>
  </si>
  <si>
    <t> 3182627884</t>
  </si>
  <si>
    <t>jramirez@ambitzco</t>
  </si>
  <si>
    <t>Carrera 97C #58A-10 Sur Bosa Santa Fe</t>
  </si>
  <si>
    <t>JHEFFERSON JESUS CORZO ARTEAGA</t>
  </si>
  <si>
    <t>jheffersoncorzoarteaga2@gmailcom</t>
  </si>
  <si>
    <t>Cra 17a # 2 - 10 hogares soacha la oportunidad 2</t>
  </si>
  <si>
    <t>10077436443 b/bia</t>
  </si>
  <si>
    <t>JORDANIA JOHEBETH MEDINA CORDOVA</t>
  </si>
  <si>
    <t>jordamecor00@gmailcom</t>
  </si>
  <si>
    <t>Carrera 96 #85 25 Sur Parque De Bogota</t>
  </si>
  <si>
    <t>JOSÉ GREGORIO FUENTES ESCALONA</t>
  </si>
  <si>
    <t>gregorio2020fe@gmailcom</t>
  </si>
  <si>
    <t>JOSE GREGORIO MENDEZ NOGUERA</t>
  </si>
  <si>
    <t>josemendezpflc@gmailcom</t>
  </si>
  <si>
    <t>Carrera 95 A 58 16 Bosa El Anhelo</t>
  </si>
  <si>
    <t>JOSE GABRIEL ARIAS DIAZ</t>
  </si>
  <si>
    <t>ariasjose132000@gmail.com</t>
  </si>
  <si>
    <t>Calle 58 sur # 98a - 33 Bosa santa fe</t>
  </si>
  <si>
    <t>3214070987 Nequi</t>
  </si>
  <si>
    <t>JUAN CARLOS RODRIGUEZ RODRÍGUEZ</t>
  </si>
  <si>
    <t>juankroro1976@gmailcom</t>
  </si>
  <si>
    <t>INMOBILIARIA</t>
  </si>
  <si>
    <t>24107657086 bcsc</t>
  </si>
  <si>
    <t>JULIANA CAROLINA CHACON ESTEVEZ</t>
  </si>
  <si>
    <t>julianaestevez1725@gmailcom</t>
  </si>
  <si>
    <t>Calle 62 sur # 22h - 15 Br Candelaria la nueva</t>
  </si>
  <si>
    <t>KAREN BRIJITH ZABALA VIUCHE</t>
  </si>
  <si>
    <t>zabalabkaren@gmailcom</t>
  </si>
  <si>
    <t>Cra 78g bis # 65j - 36 Br: Bosa san pablo</t>
  </si>
  <si>
    <t>25/8/2024</t>
  </si>
  <si>
    <t>LUIS ALEXANDER CASTILLO CATARI</t>
  </si>
  <si>
    <t>luismetalex@gmailcom</t>
  </si>
  <si>
    <t>Cra 94C #56F Sur - 58 Bosa Porvenir El Anhelo</t>
  </si>
  <si>
    <t>LUIS ALFREDO MORA ANDRADE</t>
  </si>
  <si>
    <t>310 5109536</t>
  </si>
  <si>
    <t>luisalfredomora1407@gmailcom</t>
  </si>
  <si>
    <t>Carrera 97B #58A-34 Bosa Santa Fe</t>
  </si>
  <si>
    <t>LUIS CARLOS FLORES SUAREZ</t>
  </si>
  <si>
    <t>sebastianmateoflorez17@gmailcom</t>
  </si>
  <si>
    <t>Calle 56f sur # 94 - 21 reservado 12 Br el porvenir bosa</t>
  </si>
  <si>
    <t>LUIS ENRIQUE ESPINOZA ROMERO</t>
  </si>
  <si>
    <t>luisespinoza1917@gmailcom</t>
  </si>
  <si>
    <t>Carrera 78H # 66 - 10 Sur Bosa san pablo</t>
  </si>
  <si>
    <t>84177997Nu</t>
  </si>
  <si>
    <t>LUIS ENRIQUE GONZALEZ RONDON</t>
  </si>
  <si>
    <t>lj0036192@gmailcom</t>
  </si>
  <si>
    <t>Carrera 95 Calle 58 Sur Bosa Santa Fe</t>
  </si>
  <si>
    <t>LUIS ERNESTO VELASQUEZ BARRETO</t>
  </si>
  <si>
    <t>luisyjuan29@gmailcom</t>
  </si>
  <si>
    <t>Carrera 95A #54-02 Sur Manzana #52 Bosa Santa Fe</t>
  </si>
  <si>
    <t>MARCEL ARTURO CAMACHO MAYORA</t>
  </si>
  <si>
    <t>arturomayora2021@gmailcom</t>
  </si>
  <si>
    <t>Cra 87D # 52-18 Sur Bosa Betania</t>
  </si>
  <si>
    <t>MARIA JOSE GUETE ORTEGA</t>
  </si>
  <si>
    <t>antoyesi0107@gmailcom</t>
  </si>
  <si>
    <t>Calle 13 # 30 - 163 Conjunto Alcaparro ciudad verde</t>
  </si>
  <si>
    <t>MARIELIZA NICOLE MORENO GUERRA</t>
  </si>
  <si>
    <t>morenomarieliza@gmailcom</t>
  </si>
  <si>
    <t>Carrera 95A #56H-21 Sur Bosa Santa Fe</t>
  </si>
  <si>
    <t>3143880849 Nequi</t>
  </si>
  <si>
    <t>MARIELYS LUISA FERRER ROMERO</t>
  </si>
  <si>
    <t>gothmarielysferrer@gmailcom</t>
  </si>
  <si>
    <t>Carrera 81H 75 Sur Bosa San Jose</t>
  </si>
  <si>
    <t>16133607 Nu</t>
  </si>
  <si>
    <t>MAYRA ALEJANDRA PALOMINO CAPERA</t>
  </si>
  <si>
    <t>alejarodriguez1614@hotmailcom</t>
  </si>
  <si>
    <t>Transversal 24B # 17 - 67 Conj Lunaria To 4 Apto 601 Ciudad Verde</t>
  </si>
  <si>
    <t>Auxiliar de Gerencia</t>
  </si>
  <si>
    <t>24106707926 bcsc</t>
  </si>
  <si>
    <t>NESTOR LUIS SALAZAR TOVAR</t>
  </si>
  <si>
    <t>nestor23salazar@gmailcom</t>
  </si>
  <si>
    <t>OSCARINA YOHANA DELGADO ROJAS</t>
  </si>
  <si>
    <t>kary0226delgado@gmailcom</t>
  </si>
  <si>
    <t>Carrera 102C 56F 72 Sur</t>
  </si>
  <si>
    <t>SAIDA LICETH TOVAR TEJADA</t>
  </si>
  <si>
    <t>tovarlicet78@gmailcom</t>
  </si>
  <si>
    <t>Carrera 94 #56H 58B Sur Bosa El Anhelo</t>
  </si>
  <si>
    <t>10094597388 b/bia</t>
  </si>
  <si>
    <t>SHERLY DAYANNA MARIN BETANCOURT</t>
  </si>
  <si>
    <t>betancourthdayis@gmailcom</t>
  </si>
  <si>
    <t>Carrera 10 B #6A - 52 Sur Valles De Santa Ana, Soacha</t>
  </si>
  <si>
    <t>24137979097 bcsc</t>
  </si>
  <si>
    <t>VICTOR MANUEL SEQUERA ANAHOLE</t>
  </si>
  <si>
    <t>Cra 95B # 57A - 57 Sur el anehelo bosa</t>
  </si>
  <si>
    <t>15/7/2025</t>
  </si>
  <si>
    <t>WANYERLY YUSNEY YANEZ MERCHAN</t>
  </si>
  <si>
    <t>wanyerlyyusney@gmailcom</t>
  </si>
  <si>
    <t>Calle 58a sur # 32 Br la libertad bosa</t>
  </si>
  <si>
    <t>WILL ORLANDO RAMIREZ GUERRA</t>
  </si>
  <si>
    <t>willramirez982@gmailcom</t>
  </si>
  <si>
    <t>Calle 94b # 57a 22 sur Br el anhelo bosa</t>
  </si>
  <si>
    <t>N/A</t>
  </si>
  <si>
    <t>WILLIAMS JESUS MEDINA ZAMBRANO</t>
  </si>
  <si>
    <t>williamsjesusmedinazambrano@gmailcom</t>
  </si>
  <si>
    <t>Cra 95 sur # 58 - 10 Br Santa fe</t>
  </si>
  <si>
    <t>YENDER JOSE BENITEZ TEJADA</t>
  </si>
  <si>
    <t>tejadayender@gmailcom</t>
  </si>
  <si>
    <t>YERLY TATIANA GOMEZ PARRA</t>
  </si>
  <si>
    <t>yerlitatianagomezparra@gmailcom</t>
  </si>
  <si>
    <t>Calle 84 # 23 - 03 Br: alpes ciudad bolivar</t>
  </si>
  <si>
    <t>YESID ANTONIO NARVAEZ PEÑA</t>
  </si>
  <si>
    <t>ynarvaez@ambitzco</t>
  </si>
  <si>
    <t>Gerente operativo</t>
  </si>
  <si>
    <t>YHONGERVIS JESUS AVILA JIMENEZ</t>
  </si>
  <si>
    <t>avilayhongervis674@gmailcom</t>
  </si>
  <si>
    <t>Carrera 95 #57A-57S Bosa Santa Fe</t>
  </si>
  <si>
    <t>YORBER JOSE VARELA ROMERO</t>
  </si>
  <si>
    <t>yorberv@gmailcom</t>
  </si>
  <si>
    <t>Carrera 81 # 75 - 85 Sur Br: Bosa parque malpelo 1</t>
  </si>
  <si>
    <t>YULIANA DEL CARMEN CHIRINOS BRACHO</t>
  </si>
  <si>
    <t>yulianachirinos1985@gmailcom</t>
  </si>
  <si>
    <t>Kr 98 #57 C - 05 Sur</t>
  </si>
  <si>
    <t xml:space="preserve">  771185 </t>
  </si>
  <si>
    <t>YUSBELY YULITZA RODRIGUEZ ROMERO</t>
  </si>
  <si>
    <t>yusbelyrodriguez1984@gmailcom</t>
  </si>
  <si>
    <t>TIPO DE DOCUMENTO</t>
  </si>
  <si>
    <t>ABRAHAM JOSE ACEVEDO BARRERA</t>
  </si>
  <si>
    <t>jose99barrera@gmailcom</t>
  </si>
  <si>
    <t>Carrera 88d # 56 - 21 sur Br: bosa la libertad</t>
  </si>
  <si>
    <t>ADERIANNYS DEL VALLE MARCANO SALAZAR</t>
  </si>
  <si>
    <t>aderiannysmarcano@gmailcom</t>
  </si>
  <si>
    <t>Calle 23 sur # 24g - 30 San Cristonbal</t>
  </si>
  <si>
    <t>Passport</t>
  </si>
  <si>
    <t>ALBA DEL VALLE SANTAELLA VALDERRAMA</t>
  </si>
  <si>
    <t>albasanella09@gmailcom</t>
  </si>
  <si>
    <t>20/9/2024</t>
  </si>
  <si>
    <t>ALEJANDRO ANDRES TORREALBA ESPINOZA</t>
  </si>
  <si>
    <t>alejadroaate@gmailcom</t>
  </si>
  <si>
    <t>Cra 95a # 57a - 85 sur Bosa santa fe</t>
  </si>
  <si>
    <t>C.I-V</t>
  </si>
  <si>
    <t>27.562.547</t>
  </si>
  <si>
    <t>ALESSANDRO DAVID CEDEÑO SANCHEZ</t>
  </si>
  <si>
    <t>alessandrocedeno12@gmail.com</t>
  </si>
  <si>
    <t>Carrera 2i # 39a - 65 sur Br: guacamayas 2</t>
  </si>
  <si>
    <t>18/9/2025</t>
  </si>
  <si>
    <t>ALEXANDER JAVIER CASTILLO ALASTRE</t>
  </si>
  <si>
    <t>alexdanielcastillo20@gmailcom</t>
  </si>
  <si>
    <t>Av 33, porcelamiento el Rosal, casa B-11 Cabimas</t>
  </si>
  <si>
    <t>AMIR ANTONIO ROMERO MELENDEZ</t>
  </si>
  <si>
    <t>amirromeromelendez@gmailcom</t>
  </si>
  <si>
    <t>Carrera 81f # 68 - 09 Br: palestina bosa</t>
  </si>
  <si>
    <t>ANA VALERIA PAZ LOZANO</t>
  </si>
  <si>
    <t>anavaleriapaz2001@gmailcom</t>
  </si>
  <si>
    <t>Carrera  95a # 58 - 40 sur Br: bosa el anehelo</t>
  </si>
  <si>
    <t>ARIADNA ANDREINA COLMENAREZ PERDOMO</t>
  </si>
  <si>
    <t>ariadnaperdomo@gmailcom</t>
  </si>
  <si>
    <t>Carrera 81 # 75 - 85 sur Parque marpelo 1</t>
  </si>
  <si>
    <t>ARIANNI SOCARLI PERAZA HEREDIA</t>
  </si>
  <si>
    <t>mahovelinlo29881@gmailcom</t>
  </si>
  <si>
    <t>Carrera 82g bis # 59 - 62 sur Br: la paz bosa</t>
  </si>
  <si>
    <t>elainermolina2004@gmailcom</t>
  </si>
  <si>
    <t>Carrera 95 # 56F SUR - 45 Bosa santa fe el Anhelo</t>
  </si>
  <si>
    <t>10094596390 b/bia</t>
  </si>
  <si>
    <t>mhuiza562@gmail.com</t>
  </si>
  <si>
    <t>Carrera 95a # 36b - 50 Br: Bosa Santafe</t>
  </si>
  <si>
    <t>21998952520 b/bia</t>
  </si>
  <si>
    <t>BRANDON ENRIQUE QUEVEDO BAUTISTA</t>
  </si>
  <si>
    <t>quevedobauisabrandonenrique@gmailcom</t>
  </si>
  <si>
    <t>Calle 33a # 89d sur - 67 Br: patio bonito calandaima</t>
  </si>
  <si>
    <t xml:space="preserve">CARLA ISABEL FERRER HERNANDEZ </t>
  </si>
  <si>
    <t>carlaferrer0609@gmailcom</t>
  </si>
  <si>
    <t>Carrera 56 # 56h - 68 sur</t>
  </si>
  <si>
    <t>CARLOS JAVIER CARILLO GAONA</t>
  </si>
  <si>
    <t>crlsjavierxd123@gmailcom</t>
  </si>
  <si>
    <t>Calle 56 h # 98a - 46 Bosa santa fe</t>
  </si>
  <si>
    <t>CELENNY DEL CARMEN RONDON</t>
  </si>
  <si>
    <t>celennyrondon@gmailcom</t>
  </si>
  <si>
    <t>Cra 95 # 57a - 86 sur Bosa el ahnelo</t>
  </si>
  <si>
    <t>CRISTIAN MATEO GOMEZ AMAYA</t>
  </si>
  <si>
    <t>gomezamayacristianmateo@gmailcom</t>
  </si>
  <si>
    <t>Cra 34a # 37 - 90 ciudad verde</t>
  </si>
  <si>
    <t>CRISTIAN PAUL ROMERO GONZALEZ</t>
  </si>
  <si>
    <t>No tiene</t>
  </si>
  <si>
    <t>Calle 68a sur # 81g - 63 Br: bosa palestina</t>
  </si>
  <si>
    <t>DANIEL EDUARDO BERROCAL REYES</t>
  </si>
  <si>
    <t>danielberrocal2309@gmailcom</t>
  </si>
  <si>
    <t>Cra 94b cll 56h - 05 sur Brr: el anehelo</t>
  </si>
  <si>
    <t>puntaje</t>
  </si>
  <si>
    <t>DANIEL VICENTE GARCIA PADRON</t>
  </si>
  <si>
    <t>dxnielgx@gmailcom</t>
  </si>
  <si>
    <t>Carrera 85 #64 Sur-1 a 64 Sur-67, Bogotá</t>
  </si>
  <si>
    <t>DANIELA ALEJANDRA OJEDA VALLES</t>
  </si>
  <si>
    <t>daniojeda150820@gmialcom</t>
  </si>
  <si>
    <t>Cra 95B Cll 56H SUR # 15 Brr: el anhelo bosa</t>
  </si>
  <si>
    <t>DAVID ALBERTO GARCIA RODRIGUEZ</t>
  </si>
  <si>
    <t>davidgarcialive@gmailcom</t>
  </si>
  <si>
    <t>Cra 88a # 59c - 81 sur Bosa la libertad</t>
  </si>
  <si>
    <t>24123032177 bcsc</t>
  </si>
  <si>
    <t>DAVID EDUARDO PEREZ BASTIDAS</t>
  </si>
  <si>
    <t>31414361david@gmailcom</t>
  </si>
  <si>
    <t>DAVID SANTIAGO CORTES SANTA</t>
  </si>
  <si>
    <t>davidcortes1105@gmailcom</t>
  </si>
  <si>
    <t>Calle 56d # 88f - 25 Bosa brasil</t>
  </si>
  <si>
    <t>DAYANA DANIELA MAICAN CASTRO</t>
  </si>
  <si>
    <t>dayamaican20@gmailcom</t>
  </si>
  <si>
    <t>Calle 54 sur # 94 - 21 Bosa Porvenir</t>
  </si>
  <si>
    <t>DEIBI LEANDRO SEGOVIA BARRETO</t>
  </si>
  <si>
    <t>leandrosegoviabarreto15@gmailcom</t>
  </si>
  <si>
    <t>Carrera 9b # 56h - 21 sur Br: bosa el anehelo</t>
  </si>
  <si>
    <t>DIANA PATRICIA ORTIZ CAMPO</t>
  </si>
  <si>
    <t>dianaortizc7@gmailcom</t>
  </si>
  <si>
    <t>Cra 87m # 66a - 02 sur Brr: chico sur bosa</t>
  </si>
  <si>
    <t>EDDIE JOHAN ALVARADO BONILLA</t>
  </si>
  <si>
    <t>eddiebonilla68@gmailcom</t>
  </si>
  <si>
    <t>Cra 56h sur # 95a - 10 Br el anhelo bosa</t>
  </si>
  <si>
    <t>31/8/2025</t>
  </si>
  <si>
    <t>EDUARD JOSUE RICO ZAMBRANO</t>
  </si>
  <si>
    <t>15242264eduard@gmailcom</t>
  </si>
  <si>
    <t>Calle 56h sur # 95a - 10 Bosa el Ahnelo</t>
  </si>
  <si>
    <t>30/11/2024</t>
  </si>
  <si>
    <t>EDWAR ALEXANDER PERALTA RODRIGUEZ</t>
  </si>
  <si>
    <t>edwarperalta4@gmailcom</t>
  </si>
  <si>
    <t>Carrera 87b # 66c sur - 57 Bosa</t>
  </si>
  <si>
    <t>LEVEL 360</t>
  </si>
  <si>
    <t>EDWARS JOSE FIGUEREDO ZAPATA</t>
  </si>
  <si>
    <t>figueredojose6@gmailcom</t>
  </si>
  <si>
    <t>Cra 99b # 56h - 51 Br: bosa santa fe</t>
  </si>
  <si>
    <t>22/2/2025</t>
  </si>
  <si>
    <t>EDWMARLYN YEYNILIN FRANCHE RAMOS</t>
  </si>
  <si>
    <t>edwnarlyfranche27@gmaikcom</t>
  </si>
  <si>
    <t>Cra 94D # 54C - 38 SUR Brr: Bosa Caldas</t>
  </si>
  <si>
    <t>ERIANA GABRIELA BASTIDAS ALVAREZ</t>
  </si>
  <si>
    <t>gabrielabastidas942@gmailcom</t>
  </si>
  <si>
    <t>Carrera 95b Calle 56h sur # 05 Bosa Anehelo santa fe</t>
  </si>
  <si>
    <t>DML</t>
  </si>
  <si>
    <t>EUDIMAR ZUÑIGA MONSALVE</t>
  </si>
  <si>
    <t>monsalveeudimar@gmailcom</t>
  </si>
  <si>
    <t>Carrera 94 b # 56h - 21 sur Br: Bosa santa fe</t>
  </si>
  <si>
    <t>FRANKLIN JACKSON CARRILLO OCANDO</t>
  </si>
  <si>
    <t>jacksoncarrillo1989@gmailcom</t>
  </si>
  <si>
    <t>Carrera 95 sur # 58 - 10 Br: santa fe bosa</t>
  </si>
  <si>
    <t>GABRIEL ALEJANDRO CASTILLO RODRIGUEZ</t>
  </si>
  <si>
    <t>c2005gabo@gmailcom</t>
  </si>
  <si>
    <t>Calle 62c sur # 74D - 16 Estancia</t>
  </si>
  <si>
    <t>GIONANGELYS NAIRED CARPIO MARTINEZ</t>
  </si>
  <si>
    <t>rincon18nairet@gmailcom</t>
  </si>
  <si>
    <t>Diagonal 42 Conj Heliconia Ciudad verde</t>
  </si>
  <si>
    <t>GUILLERMO ANDRES MARQUEZ  HERNANDEZ</t>
  </si>
  <si>
    <t>guillermomarquezhernandez4@gmailcom</t>
  </si>
  <si>
    <t>Carrera 94b # 56h - 40 sur Br: Bosa santa fe</t>
  </si>
  <si>
    <t>HELEN SOFIA TRIANA BERNAL</t>
  </si>
  <si>
    <t>trianahelen7@gmailcom</t>
  </si>
  <si>
    <t>HERMAN ALBERTO VALLES GAMEZ</t>
  </si>
  <si>
    <t>vallesgamezhavg@gmailcom</t>
  </si>
  <si>
    <t>Carrera 95b calle 56h sur # 05 Br: Bosa Santa fe</t>
  </si>
  <si>
    <t>20/2/2026</t>
  </si>
  <si>
    <t>IGNACIO ANTONIO MENDOZA VICUÑA</t>
  </si>
  <si>
    <t>oicangil101@gmailcom</t>
  </si>
  <si>
    <t>Carrera 78h # 56a - 12 sur Br: roma Kenneddy</t>
  </si>
  <si>
    <t>JAIVIELYS DE LOS ANGELES PORTE IDROGO</t>
  </si>
  <si>
    <t>jai22idrogo@gmail.com</t>
  </si>
  <si>
    <t>Calle 56h sur 95a - 21 Br: bosa el anehelo</t>
  </si>
  <si>
    <t>JEAN CARLOS SALCEDO RIVERO</t>
  </si>
  <si>
    <t>jsalcedor1994@gmailcom</t>
  </si>
  <si>
    <t>Cra 94B # 56 - 58 SUR</t>
  </si>
  <si>
    <t>JEAN KLIVER OCANDO MENDOZA</t>
  </si>
  <si>
    <t>johannalyocando@gmailcom</t>
  </si>
  <si>
    <t>Calle 58 # 95 - 20 Br: Bosa el anhelo</t>
  </si>
  <si>
    <t>jeanocando548@gmailcom</t>
  </si>
  <si>
    <t>Calle 56h # 95a - 21 Br: bosa santa fe</t>
  </si>
  <si>
    <t>JEFERSON JOHANDER FIGUEROA FLOREZ</t>
  </si>
  <si>
    <t>figueroajeferson371@gmailcom</t>
  </si>
  <si>
    <t>Calle 56 # 95a - 21 Brr: bosa santafe</t>
  </si>
  <si>
    <t>JESUS ALBERTO LEON VALENCIA</t>
  </si>
  <si>
    <t>albertoleon0198@gmailcom</t>
  </si>
  <si>
    <t>Carrera 77h # 68 - 05 sur Brr: bosa san pablo</t>
  </si>
  <si>
    <t>JESUS ALEJANDRO ACOSTA RUMBO</t>
  </si>
  <si>
    <t>josefeyalegria@outlookcom</t>
  </si>
  <si>
    <t>23/112023</t>
  </si>
  <si>
    <t>JESUS EDUARDO SANDOVAL FIGUEREDO</t>
  </si>
  <si>
    <t>sandovala1992@gmailcom</t>
  </si>
  <si>
    <t>Calle 70a bis sur # 80n - 87</t>
  </si>
  <si>
    <t>15/08/2024</t>
  </si>
  <si>
    <t>JHARDEL ADRIAN SOLANO PIMIENTO</t>
  </si>
  <si>
    <t>adriansolano9629@gmailcom</t>
  </si>
  <si>
    <t>carrera 32a No 1f - 56</t>
  </si>
  <si>
    <t>JHON WIELDER RODRIGUEZ GARCIA</t>
  </si>
  <si>
    <t>jhongarciarodriguez77@gmailcom</t>
  </si>
  <si>
    <t>Calle 58 # 98C - 88 SUR Brr: santa fe bosa</t>
  </si>
  <si>
    <t>Carrera 91b # 49d sur 52 - 03 los centauros bosa</t>
  </si>
  <si>
    <t>JHONATAN CAMILO COTACIO VERDUGO</t>
  </si>
  <si>
    <t>camilo2818_@outlook.es</t>
  </si>
  <si>
    <t>Diagonal 41d # 15 - 19 Br: Los Olivos Soacha</t>
  </si>
  <si>
    <t>JHONNY ALEXANDER DELGADO ROJAS</t>
  </si>
  <si>
    <t>jhonnydelgado015@gmailcom</t>
  </si>
  <si>
    <t>Cra 102b # 58 - 28 sur Br: bosa santa fe</t>
  </si>
  <si>
    <t>JOHANNALY ALEXANDRA OCAMPO MENDOZA</t>
  </si>
  <si>
    <t>Calle 56h sur # 95b Br: Bosa santa fe</t>
  </si>
  <si>
    <t>JONATHAN JESUS TOVAR VASQUEZ</t>
  </si>
  <si>
    <t>tovarjeus20@gmailcom</t>
  </si>
  <si>
    <t>Calle 58 # 98a - 33 sur Brr: Bosa porvenir</t>
  </si>
  <si>
    <t>15/3/2025</t>
  </si>
  <si>
    <t>JORGE LUIS BRAVO MOLERO</t>
  </si>
  <si>
    <t>jorgebravo27551583@gmailcom</t>
  </si>
  <si>
    <t>Cra 89 sur la portada</t>
  </si>
  <si>
    <t>JORMAN GREGORIO MELENDEZ ALDANA</t>
  </si>
  <si>
    <t>Jormanmelendez06@gmailcom</t>
  </si>
  <si>
    <t>Calle 56 # 95a - 21 Br: santa fe</t>
  </si>
  <si>
    <t>JOSCAR ALEJANDRO GOMEZ GUERRA</t>
  </si>
  <si>
    <t>gomezjoscar725@gamailcom</t>
  </si>
  <si>
    <t>Calle 56h Br: bosa santa fe</t>
  </si>
  <si>
    <t>joscargomez35@gmailcom</t>
  </si>
  <si>
    <t>Cra 94b # 57a - 22 sur Br santa fe</t>
  </si>
  <si>
    <t>30/6/2025</t>
  </si>
  <si>
    <t>JOSE ANTONIO ORTEGA LOPEZ</t>
  </si>
  <si>
    <t>naguah00@gmailcom</t>
  </si>
  <si>
    <t>Carrera 84c # 73f sur - 17 Br: bosa islandia</t>
  </si>
  <si>
    <t>ariasjose132000@gmailcom</t>
  </si>
  <si>
    <t>Carrera 95 # 56h Sur Bosa El Ahnelo</t>
  </si>
  <si>
    <t>JOSE JAVIER GONZALEZ BRACHO</t>
  </si>
  <si>
    <t>jose_gonzalez@hotmailcom</t>
  </si>
  <si>
    <t>Calle 84 # 96 sur 85 Brr: bosa parques de bogota</t>
  </si>
  <si>
    <t>JOSE LUIS MOLINA MEJIAS</t>
  </si>
  <si>
    <t>58 4127141476</t>
  </si>
  <si>
    <t>chefjoseluismolina@gmailcom</t>
  </si>
  <si>
    <t>Carrera 102b # 58 - 28s Br: bosa santa fe</t>
  </si>
  <si>
    <t>JOSE MIGUEL PAEZ BRAVO</t>
  </si>
  <si>
    <t>josealejandrobravo19@gmailcom</t>
  </si>
  <si>
    <t>Transversal 80h # 69 - 36 Br: bosa piamonte</t>
  </si>
  <si>
    <t>JUAN CAMILO CARVAJAL FLOREZ</t>
  </si>
  <si>
    <t>juanccfz2003@gmailcom</t>
  </si>
  <si>
    <t>Calle 62b sur # 87h - 78 Brr: bosa la estandalardos</t>
  </si>
  <si>
    <t xml:space="preserve"> juanccfz2003@gmailcom</t>
  </si>
  <si>
    <t>Carrera 78h sur # 68 - 34 Br estanzuela 2</t>
  </si>
  <si>
    <t>JUAN SEBASTIAN AGUACIA AYA</t>
  </si>
  <si>
    <t>jnsebastianaguacia@gmailcom</t>
  </si>
  <si>
    <t>Calle 57c # 88g - 10 Br: Bosa la libertad</t>
  </si>
  <si>
    <t>JYNEET VIVIANA MURILLO MUÑOZ</t>
  </si>
  <si>
    <t>samiaparra2624@gmailcom</t>
  </si>
  <si>
    <t>Transversal 77i # 71d - 56 sur</t>
  </si>
  <si>
    <t>KAREN VIVIANA BONILLA</t>
  </si>
  <si>
    <t>karenbol2701@gmailcom</t>
  </si>
  <si>
    <t>No informo</t>
  </si>
  <si>
    <t>KEVIN SEBASTIAN BARON AVILA</t>
  </si>
  <si>
    <t>kevinbarones09@gmailcom</t>
  </si>
  <si>
    <t>Carrera 98 # 65 - 09 sur Bosa el recreo</t>
  </si>
  <si>
    <t>KIMBERLY NORLEIVY SUAREZ PACHON</t>
  </si>
  <si>
    <t>suarezpachonkimberlynorleivy@gmail.com</t>
  </si>
  <si>
    <t>Calle 70b sur # 86c - 36 Br bosa la independencia</t>
  </si>
  <si>
    <t>10050034874 b/bia</t>
  </si>
  <si>
    <t>KRISTAL CASTRO MONTILLA</t>
  </si>
  <si>
    <t>krystalcm15@gmailcom</t>
  </si>
  <si>
    <t>Carrera 82G BIS # 59-62 Sur Bosa La Paz Conjunto Torres de Lucerna</t>
  </si>
  <si>
    <t>LEIDY CAROLINA PADILLA RANGEL</t>
  </si>
  <si>
    <t>leidypadilla95@gmailcom</t>
  </si>
  <si>
    <t>Cra 87 # 50 - 31 sur Br: bosa Betania</t>
  </si>
  <si>
    <t>30/4/2025</t>
  </si>
  <si>
    <t>LILIANA EVELIN GARCIA HERNANDEZ</t>
  </si>
  <si>
    <t>lilianagarcia1698@gmailcom</t>
  </si>
  <si>
    <t>Parques de bogota conjunto aliso</t>
  </si>
  <si>
    <t>LINA FERNANDA VENTERO QUIROGA</t>
  </si>
  <si>
    <t>linaventero@gmailcom</t>
  </si>
  <si>
    <t>Carrera 86H # 62 - 42 sur Br: Bosa Miami</t>
  </si>
  <si>
    <t>Cra 94C #56F Sur - 58 Bosa Porvenir</t>
  </si>
  <si>
    <t>Luisamodsting@gmailcom</t>
  </si>
  <si>
    <t>Calle 57c sur # 88f - 10 Br: Bosa la libertad</t>
  </si>
  <si>
    <t>LUIS FELIPE NOVOA MENDOZA</t>
  </si>
  <si>
    <t>if147849@gmailcom</t>
  </si>
  <si>
    <t>Carrera  55 sur # 104 - 48 Br: bosa porvenir</t>
  </si>
  <si>
    <t>MARIA FERNANDA CHALITA HERNANDEZ</t>
  </si>
  <si>
    <t>trabajomariachalita@gmailcom</t>
  </si>
  <si>
    <t>Cra 97C # 58A - 10 SUR</t>
  </si>
  <si>
    <t>MARIANGEL DE JESÚS RAMIREZ GONZALEZ</t>
  </si>
  <si>
    <t>MARIANNY SOFIA PEROZO PEREZ</t>
  </si>
  <si>
    <t>sofiamariannyperozoperez@gmailcom</t>
  </si>
  <si>
    <t>Calle 47 # 20 - 19 Juan pablo soacha</t>
  </si>
  <si>
    <t>PTE</t>
  </si>
  <si>
    <t>MARIANYELA DEL CARMEN RAMIREZ GONZALEZ</t>
  </si>
  <si>
    <t>MARYAM YARLIN GRANADOS DAZA</t>
  </si>
  <si>
    <t>maryamgra2017@gmailcom</t>
  </si>
  <si>
    <t>Cra 77M # 65A - 61 SUR Brr: Bosa Estacion</t>
  </si>
  <si>
    <t>MAYLING SOFIA PEREZ VARGAS</t>
  </si>
  <si>
    <t>maylingperez00@gmailcom</t>
  </si>
  <si>
    <t>Carrera 3 # 30 - 130 Mirador de san ignacio Br: san mateo</t>
  </si>
  <si>
    <t>MIGUEL ANGEL GUZMAN GRISMALDO</t>
  </si>
  <si>
    <t>miguelgucci45@gmailcom</t>
  </si>
  <si>
    <t>Calle 56f bis sur # 87g - 23 Br bosa brasil</t>
  </si>
  <si>
    <t>MIGUEL ANGEL PIMIENTO ACEVEDO</t>
  </si>
  <si>
    <t>elarcangeldelbol@gmailcom</t>
  </si>
  <si>
    <t>Cra 93C # 54 - 31 SUR</t>
  </si>
  <si>
    <t>MOISES ALEJANDRO DIAZ SALAS</t>
  </si>
  <si>
    <t>moises2014alejandro@gmailcom</t>
  </si>
  <si>
    <t>Carrera 95 # 57 Br: santa fe</t>
  </si>
  <si>
    <t>MONICA GABRIELA MORALES BOZO</t>
  </si>
  <si>
    <t>monicamorales11@icloudcom</t>
  </si>
  <si>
    <t>Calle 56h  sur # 95b - 20 Br: Bosa santa fe</t>
  </si>
  <si>
    <t>NATHACHA STEFANIA PINTO GONZALEZ</t>
  </si>
  <si>
    <t>Pintonati13@gmailcom</t>
  </si>
  <si>
    <t>Carrera 94b # 56h - 21 sur Br: Bosa santa fe</t>
  </si>
  <si>
    <t>NESTOR LUIS ARAPE ESTRADA</t>
  </si>
  <si>
    <t>nestorarape08@gmailcom</t>
  </si>
  <si>
    <t>Calle 72 # 96c - 10 Bosa el Anehelo</t>
  </si>
  <si>
    <t>NEYLA YOSMAR GALINDEZ LOPEZ</t>
  </si>
  <si>
    <t>josnati1379@gmailcom</t>
  </si>
  <si>
    <t>Dg 37 # 14 - 29 Soacha terreros</t>
  </si>
  <si>
    <t>OMAR JOSE GOMEZ GUERRA</t>
  </si>
  <si>
    <t xml:space="preserve">ojgg3011@gmailcom	</t>
  </si>
  <si>
    <t>OSCAR JOSE GOMEZ GUERRA</t>
  </si>
  <si>
    <t>oscarjgomez2104@gmailcom</t>
  </si>
  <si>
    <t>Calle 56h Sur #  95 - 15 Piso 2 Br: bosa santa fe</t>
  </si>
  <si>
    <t>OSWALDO LUIS RODRIGUEZ MEDINA</t>
  </si>
  <si>
    <t>rodriguezoswaldo6@gmailcom</t>
  </si>
  <si>
    <t>Calle 73 sur # 92 - 85 Br: nuevo recreo 1 bosa</t>
  </si>
  <si>
    <t>OWEN DERECK BRICEÑO RIVERO</t>
  </si>
  <si>
    <t>bricenorivero3@gmailcom</t>
  </si>
  <si>
    <t>Diagonal 75a sur # 78 - 70</t>
  </si>
  <si>
    <t>PAUL REINALDO GARCIA LORO</t>
  </si>
  <si>
    <t>paulreinaldo516@hotmailcom</t>
  </si>
  <si>
    <t>Carrera 95b # 56h - 07 Bosa el anehelo</t>
  </si>
  <si>
    <t>REBECA MAIREN ROJAS ROSALES</t>
  </si>
  <si>
    <t xml:space="preserve">mairerojas18@gmailcom
</t>
  </si>
  <si>
    <t>Calle 54h # 89b - 32 sur Br: porvenir</t>
  </si>
  <si>
    <t>30/11/2025</t>
  </si>
  <si>
    <t>REINEL ALEJANDRO RAMIREZ RINCON</t>
  </si>
  <si>
    <t>reinelramirez742@gmailcom</t>
  </si>
  <si>
    <t>Conjunto residencial heliconia ciudad verde socha</t>
  </si>
  <si>
    <t>ROINIER JOSE LUNAR NOROÑO</t>
  </si>
  <si>
    <t>elmentelocalunar@gmailcom</t>
  </si>
  <si>
    <t>Calle 56h carrera 98A 56 Brr: Bosa Santa Fe</t>
  </si>
  <si>
    <t>rainerlunar8@gmail.com</t>
  </si>
  <si>
    <t>Calle 56h Sur # 95b - 02 Br bosa el anehelo</t>
  </si>
  <si>
    <t>RONALD ALEXANDER RIVERO SALCEDO</t>
  </si>
  <si>
    <t>alexandersalcedo2790@gmailcom</t>
  </si>
  <si>
    <t>Cra 95a # 57a - 85 sur</t>
  </si>
  <si>
    <t>Pasaporte</t>
  </si>
  <si>
    <t>RONALDO JESUS HERNANDEZ UGAS</t>
  </si>
  <si>
    <t>ronaldohernandez110705@gmailcom</t>
  </si>
  <si>
    <t>Cra 94b # 56h - 40 sur Br santa fe</t>
  </si>
  <si>
    <t>17/6/2025</t>
  </si>
  <si>
    <t>SCARLET ANDREINA RONDON MORALES</t>
  </si>
  <si>
    <t>rondonosb@gmailcom</t>
  </si>
  <si>
    <t>Avenida Carrera 89b # 53 - 10 sur Br: Bosa piamonte</t>
  </si>
  <si>
    <t>22/10/2024</t>
  </si>
  <si>
    <t>SEBASTIAN EDUARDO DIAZ MATA</t>
  </si>
  <si>
    <t>sebastianediazmata@gmailcom</t>
  </si>
  <si>
    <t>SERGIO JOSE ZAMBRANO CALZADILLA</t>
  </si>
  <si>
    <t>zambrano19zj@gmailcom</t>
  </si>
  <si>
    <t>Carrera 97b # 58a - 34 Br: Bosa santa fe</t>
  </si>
  <si>
    <t>SONIA FERNANDA GIRALDO MEJIA</t>
  </si>
  <si>
    <t>doncella20arias@gmailcom</t>
  </si>
  <si>
    <t>Calle 42 SUR # 78M - 71 Brr: bomberos kenneddy</t>
  </si>
  <si>
    <t>THAIRENE DEL VALLE CAMPOS GONZALEZ</t>
  </si>
  <si>
    <t>thairenecampos2013@gmailcom</t>
  </si>
  <si>
    <t>Cra 8D # 52 - 18 SUR</t>
  </si>
  <si>
    <t>Carrera 87d # 52 - 18 sur Br: Bosa Betania</t>
  </si>
  <si>
    <t>1.016.086.398</t>
  </si>
  <si>
    <t>WENDY DAYAN TENJO COGOLLO</t>
  </si>
  <si>
    <t>wendytenjo9@gmail.com</t>
  </si>
  <si>
    <t>Calle 56 sur # 90b - 46 Br: bosa santa fe</t>
  </si>
  <si>
    <t>23/11/2025</t>
  </si>
  <si>
    <t>3249500500 Nequi</t>
  </si>
  <si>
    <t>YAMILE ESTHER GUTIERREZ ARIZA</t>
  </si>
  <si>
    <t>yamygutierrez21@gmailcom</t>
  </si>
  <si>
    <t>Calle 48 sur # 80 - 42 Br: las americas Kennedy</t>
  </si>
  <si>
    <t>Calle 56h # 95a - 10 Br: el anhelo bosa</t>
  </si>
  <si>
    <t>825231005242960 ualá</t>
  </si>
  <si>
    <t>YESICA LORENA OYUELA OROZCO</t>
  </si>
  <si>
    <t>saramajooyuela0415@gmailcom</t>
  </si>
  <si>
    <t>Carrera 20 # 22 - 291 Ciudad Verde Soacha</t>
  </si>
  <si>
    <t>31/1/2025</t>
  </si>
  <si>
    <t>YOMKEILY THALIA PINTO GONZALEZ</t>
  </si>
  <si>
    <t>pintothalia296@gmailcom</t>
  </si>
  <si>
    <t>YUILSON JESUS PORTILLO PUSHE</t>
  </si>
  <si>
    <t>yuilsonportilloyo@gmailcom</t>
  </si>
  <si>
    <t>Calle 56h Sur #  95 - 15 Br: bosa santa fe</t>
  </si>
  <si>
    <t>YULI ANDREA GOMEZ PARRA</t>
  </si>
  <si>
    <t>yandreagomez94@gmailcom</t>
  </si>
  <si>
    <t>Dg 73 sur # 78i - 51</t>
  </si>
  <si>
    <t>YULIANDRY CAROLINA SALCEDO RIVERO</t>
  </si>
  <si>
    <t>yuliandrysalcedo20@gmailcom</t>
  </si>
  <si>
    <t>ZARCO JOSE BALDOVINO ARTEAGA</t>
  </si>
  <si>
    <t>zarcobaldovino@gmailcom</t>
  </si>
  <si>
    <t>Calle 84 sur # 96 - 85 Parques de bogotá</t>
  </si>
  <si>
    <t>4.975.097</t>
  </si>
  <si>
    <t>KRISTIAN GABRIEL CASTRO MONTILLA</t>
  </si>
  <si>
    <t>kristiancastro919@gmail.com</t>
  </si>
  <si>
    <t>carrera 82g bis # 59 - 62 sur Br: Bosa La paz</t>
  </si>
  <si>
    <t>3017050073 Nequi</t>
  </si>
  <si>
    <t>ALBANI ANGELINE LUGO</t>
  </si>
  <si>
    <t>albanilugo098@gmailcom</t>
  </si>
  <si>
    <t>Cra 81H # 65D sur - 70</t>
  </si>
  <si>
    <t>ANDERSON ESNEYDER FERNANDEZ ACUÑA</t>
  </si>
  <si>
    <t>andersonsneideracu66@gmailcom</t>
  </si>
  <si>
    <t>Calle 56f sur # 91c - 10 Brr: Bosa Caldas</t>
  </si>
  <si>
    <t>ANDREINA DE LOS ANGELES YSSA MORENO</t>
  </si>
  <si>
    <t>Yssandreina03@gmailcom</t>
  </si>
  <si>
    <t>Calle 56h # 95a - 21 Brr: bosa santa fe</t>
  </si>
  <si>
    <t>31/7/2025</t>
  </si>
  <si>
    <t>ANDRES FELIPE DIAZ SANCHEZ</t>
  </si>
  <si>
    <t>andresfelipediaz052@gmailcom</t>
  </si>
  <si>
    <t>Calle 34A # 36 -76 Brr: ciudad verde</t>
  </si>
  <si>
    <t>BRANDON STIVEN MARTINEZ RUBIO</t>
  </si>
  <si>
    <t>rubiodon5@gmailcom</t>
  </si>
  <si>
    <t>Calle 62e # 89a - 36 sur Br: Margaritas</t>
  </si>
  <si>
    <t>CARLOS GUSTAVO NAVARRO OJEDA</t>
  </si>
  <si>
    <t>gustavoojeda991@gmail.com</t>
  </si>
  <si>
    <t>Calle 66 # 17 - 32 Apto 301</t>
  </si>
  <si>
    <t>29/8/2025</t>
  </si>
  <si>
    <t>DANIELA YENNIER PRIETO AÑEZ</t>
  </si>
  <si>
    <t>pyenny517@gmailcom</t>
  </si>
  <si>
    <t>Cra 51 sur # 88i - 26 Br: bosa brasil</t>
  </si>
  <si>
    <t>DARIELA ISAMAR CASTILLO ACOSTA</t>
  </si>
  <si>
    <t>darielacastillo05@gmailcom</t>
  </si>
  <si>
    <t>Calle 166 # 54 - 79 Br san cipriano</t>
  </si>
  <si>
    <t>24/2/2025</t>
  </si>
  <si>
    <t>ESCARLE GABRIELA ROJAS</t>
  </si>
  <si>
    <t>skarlettr94@gmailcom</t>
  </si>
  <si>
    <t>Cra 102b # 57 - 70 sur Br: bosa santa fe</t>
  </si>
  <si>
    <t>ANAZARED RODRIGUEZ CAMPOS</t>
  </si>
  <si>
    <t>anaboris2202@gmailcom</t>
  </si>
  <si>
    <t>Carrera 93d # 6- 37 torre 16 apto 101 Tintal</t>
  </si>
  <si>
    <t>21300003966 b/bia</t>
  </si>
  <si>
    <t>yssandreina03@gmail.com</t>
  </si>
  <si>
    <t>Calle 56h # sur 95b - 4 Br: bosa santa fe</t>
  </si>
  <si>
    <t>BORIS JUVENAL PATIÑO ESCORIHUELA</t>
  </si>
  <si>
    <t>borispatino1@gmail.com</t>
  </si>
  <si>
    <t>Carrera 93d # 6 - 37 Br el tintal 2 etapa 4</t>
  </si>
  <si>
    <t>3118372376 Nequi</t>
  </si>
  <si>
    <t>1.054.541.049</t>
  </si>
  <si>
    <t>ANGIE LORENA MONTES MUÑOZ</t>
  </si>
  <si>
    <t>angielorenaaz07@gmail.com</t>
  </si>
  <si>
    <t>Calle 61 # 1d - 60 Sur Br: Balcones Soacha</t>
  </si>
  <si>
    <t>20/11/2025</t>
  </si>
  <si>
    <t>GIOLMAR JOSUE ALVAREZ COLINA</t>
  </si>
  <si>
    <t>josuepalillo69@gmailcom</t>
  </si>
  <si>
    <t>Calle 85 SUR # 85 - 05 Int 13 Apto 02</t>
  </si>
  <si>
    <t>JESUS DAVID CASTAÑEDA ROJAS</t>
  </si>
  <si>
    <t>rojasjesus67@gmailcom</t>
  </si>
  <si>
    <t>Cra 88c # 62c  - 10 Br: bosa independencia</t>
  </si>
  <si>
    <t>JHON FREDY NUÑEZ TAGUA</t>
  </si>
  <si>
    <t>jhonfredy2147@gmailcom</t>
  </si>
  <si>
    <t>Calle 70B # 89A - 07</t>
  </si>
  <si>
    <t>JHON JAIRO LEAL ARCIA</t>
  </si>
  <si>
    <t>xxoficialjhon@gmailcom</t>
  </si>
  <si>
    <t>Carrera 79f # 58c sur Br: Bosa José Antonio galán</t>
  </si>
  <si>
    <t>Calle 23 sur # 24g - 30 Br: Santander</t>
  </si>
  <si>
    <t>14/5/2025</t>
  </si>
  <si>
    <t>JORGE ANDRES MADURO MARTINEZ</t>
  </si>
  <si>
    <t>madurojorge774@gmailcom</t>
  </si>
  <si>
    <t>Carrera 91b # 49d sur # 52 - 03 Br Los centauros</t>
  </si>
  <si>
    <t>JUAN CAMILO RINCON PIRAVAGUEN</t>
  </si>
  <si>
    <t>camilo06piravaguen@gmail.com</t>
  </si>
  <si>
    <t>Calle 57a Sur # 87b - 40 Br: Bosa Escosia</t>
  </si>
  <si>
    <t>JOSE DANIEL CHAVEZ FERNANDEZ</t>
  </si>
  <si>
    <t>carolydoll9@gmailcom</t>
  </si>
  <si>
    <t>JOSUE TOMAS URBINA AMESQUITA</t>
  </si>
  <si>
    <t>tomassurbina0202@gmailcom</t>
  </si>
  <si>
    <t>Cra 96 # 56h - 16 sur Br: Bosa santafe</t>
  </si>
  <si>
    <t>camilo06piravaguen@gmailcom</t>
  </si>
  <si>
    <t>JUNIOR WILFREDO TOVAR DIAZ</t>
  </si>
  <si>
    <t>junitovar006@gmailcom</t>
  </si>
  <si>
    <t>Carrera 13c # 40i - 48 s Br: San jorge</t>
  </si>
  <si>
    <t xml:space="preserve">KAROL NATALIA MONTES GUTIERREZ </t>
  </si>
  <si>
    <t>---</t>
  </si>
  <si>
    <t>karolnatalia27montesgutierres@gmailcom</t>
  </si>
  <si>
    <t>Calle 58 sur · 89-54 Bosa la libertad</t>
  </si>
  <si>
    <t>LUIS DAVID RODRIGUEZ MARTINEZ</t>
  </si>
  <si>
    <t>luisdavidxpd154@gmailcom</t>
  </si>
  <si>
    <t>Calle  58 sur # 84c - 41 Br escocia bosa</t>
  </si>
  <si>
    <t>LUIS YOHANDER ARTURO ROJAS DOMINGUEZ</t>
  </si>
  <si>
    <t>aro838190@gmailcom</t>
  </si>
  <si>
    <t>Calle 38 carrera 88d  - 19 Br: patio bonito</t>
  </si>
  <si>
    <t>LUISA FERNANDA VALENCIA CORREA</t>
  </si>
  <si>
    <t>luisitavalencia17@gmailcom</t>
  </si>
  <si>
    <t>Calle 52b sur # 92a - 34 Bosa porvenir</t>
  </si>
  <si>
    <t>MAYERLI DEL CARMEN CONTRERAS RINCON</t>
  </si>
  <si>
    <t>mayerliscontreras18@gmailcom</t>
  </si>
  <si>
    <t>Kr 97 C #58 A -10 Sur Bosa Santa Fe</t>
  </si>
  <si>
    <t>MILLER JOSE ROJAS MARCANO</t>
  </si>
  <si>
    <t>millerargent8@gmailcom</t>
  </si>
  <si>
    <t>BRANDON MIGUEL FERNANDEZ MORA</t>
  </si>
  <si>
    <t>donkiller3232@gmail.com</t>
  </si>
  <si>
    <t>Conjunto residencial parque de tintala Br: tintal keneddy</t>
  </si>
  <si>
    <t>BRIGITH DE LOS ANGELES FERNANDEZ MORA</t>
  </si>
  <si>
    <t>brigithfff@gmailcom</t>
  </si>
  <si>
    <t>Carrera 98 # 2 - 32 tierra buena Tintal</t>
  </si>
  <si>
    <t>3132410038 nequi</t>
  </si>
  <si>
    <t>Carrera 102A # 56F - 48 Sur Br santafe bosa</t>
  </si>
  <si>
    <t>PATRICIA DE LOS ANGELES MORILLO ZAPATA</t>
  </si>
  <si>
    <t>patriciamorillo316@gmailcom</t>
  </si>
  <si>
    <t>Carrera 95 # 57a - 86 Br: santa fe</t>
  </si>
  <si>
    <t>RICMAR ANDREINA PALOMARES RAMIREZ</t>
  </si>
  <si>
    <t>Ricmarandreina@gmailcom</t>
  </si>
  <si>
    <t>Cra 94b # 58 - 10 SUR Brr: santa fe bosa</t>
  </si>
  <si>
    <t>RIQUELME  ORTEGON SERRANO</t>
  </si>
  <si>
    <t>riquelmeortegon71@gmailcom</t>
  </si>
  <si>
    <t>Cra 87k # 54 sur - 65 Brr: bosa brasil</t>
  </si>
  <si>
    <t>RIXMAR GONZALEZ PEREZ</t>
  </si>
  <si>
    <t>rixgrupo3@gmailcom</t>
  </si>
  <si>
    <t>Cra 93a # 54d sur Brr: bosa san miguel</t>
  </si>
  <si>
    <t>26/5/2025</t>
  </si>
  <si>
    <t>SERGIO DAVID ALDANA BELTRAN</t>
  </si>
  <si>
    <t>Sergioaldana150818@gmailcom</t>
  </si>
  <si>
    <t>Calle 65C SUR # 78A - 20</t>
  </si>
  <si>
    <t>CATHERINE NAOMI FIGUEREDO HERNANDEZ</t>
  </si>
  <si>
    <t>catherinehernandez173@gmail.com</t>
  </si>
  <si>
    <t>Calle 58 # 98a 33 Br: Bosa Santa Fe</t>
  </si>
  <si>
    <t>EDIANNYS ADRIANA ZAPATA HERNANDEZ</t>
  </si>
  <si>
    <t>ediannyszapata11@gmail.com</t>
  </si>
  <si>
    <t>Carrera 56h sur # 91b 48 Br: Bosa santafe</t>
  </si>
  <si>
    <t>JAIRO SEBASTIAN BALLESTEROS RAMIREZ</t>
  </si>
  <si>
    <t>seballesteros07@gmail.com</t>
  </si>
  <si>
    <t>Calle 15 # 30 - 78 ciudad verde Soacha</t>
  </si>
  <si>
    <t>31.593.846</t>
  </si>
  <si>
    <t>Daniz05fer@gmail.com</t>
  </si>
  <si>
    <t>Carrera 93a # 54d - 24 sur Br: Bosa el porvenir</t>
  </si>
  <si>
    <t>EDUIN JOSE ESPAÑA DIAZ</t>
  </si>
  <si>
    <t>eduinjose35@gmail.com</t>
  </si>
  <si>
    <t>Carrera 94c # 58 - 13 Br bosa el anehelo</t>
  </si>
  <si>
    <t>ESPERANZA JIMENEZ SEVILLA</t>
  </si>
  <si>
    <t>espejime1995@gmailcom</t>
  </si>
  <si>
    <t>Carrera 80i # 71 sur 16 Bosa los naranjos</t>
  </si>
  <si>
    <t>3003047950 Daviplata</t>
  </si>
  <si>
    <t>FREDERYCK JOSE GALICIA CAMARIPANO</t>
  </si>
  <si>
    <t>fredegalicia23@icloud.com</t>
  </si>
  <si>
    <t>Carrera 88h # 49d sur 37 Br: Bosa Brasil</t>
  </si>
  <si>
    <t>VICTORIA SOTO CASTILLO</t>
  </si>
  <si>
    <t>sotovicky642@gmailcom</t>
  </si>
  <si>
    <t>Calle 61a # 84 -14 sur Brr: Bosa la paz</t>
  </si>
  <si>
    <t>WILLIANNYS DEL VALLE GUZMAN ANGULO</t>
  </si>
  <si>
    <t>wiliannysguzman62@gmailcom</t>
  </si>
  <si>
    <t>Calle 56H # 95A - 21</t>
  </si>
  <si>
    <t xml:space="preserve">Calle 56h sur # 95a 21 Br: Bosa Santa fe
</t>
  </si>
  <si>
    <t>YESLAN JOSE GAMEZ PINEDO</t>
  </si>
  <si>
    <t>GABRIEL LUISDEVIT GONZALEZ ARCIA</t>
  </si>
  <si>
    <t>gabrielgonzarc@gmailcom</t>
  </si>
  <si>
    <t>Calle 6a # 79b - 20 Br piu12 Keneddy</t>
  </si>
  <si>
    <t>JESUS ALBERTO AVILA BELISARIO</t>
  </si>
  <si>
    <t>jesusavilab1@gmail.com</t>
  </si>
  <si>
    <t>Carrera 9 este # 36 - 75 Conjunto Magnolios Terreros soacha</t>
  </si>
  <si>
    <t>0550456800277489 Davi</t>
  </si>
  <si>
    <t>JESUS DAVID PAJARO PIÑERES</t>
  </si>
  <si>
    <t>jpajaropiñeres@gmail.com</t>
  </si>
  <si>
    <t>Calle 94 # 60 - 88 Br: Unidos</t>
  </si>
  <si>
    <t>3143908992 Nequi</t>
  </si>
  <si>
    <t>6.333.284</t>
  </si>
  <si>
    <t>JHORIANNYS ESTHER MOSQUERA ROJANO</t>
  </si>
  <si>
    <t>mosquerajhoriannys@gmail.com</t>
  </si>
  <si>
    <t>Carrera 78j Bis # 33 - 65f</t>
  </si>
  <si>
    <t>3239756166 Nequi</t>
  </si>
  <si>
    <t>YONATAN ANTONIO ALEMAN HERRERA</t>
  </si>
  <si>
    <t>jhonatanaleman20@gmail.com</t>
  </si>
  <si>
    <t>Calle 42f sur # 87b - 16 Conj portal del pinar Br: Dindalito</t>
  </si>
  <si>
    <t>21/11/2025</t>
  </si>
  <si>
    <t>3242540956 nequi</t>
  </si>
  <si>
    <t>JOSE MANUEL VARELA LEON</t>
  </si>
  <si>
    <t>jvyp2602@gmail.com</t>
  </si>
  <si>
    <t>Calle 56h sur # 95 a - 21 Br: Bosa santa fe</t>
  </si>
  <si>
    <t>JOSUE DAVID HENRIQUEZ REGALADO</t>
  </si>
  <si>
    <t>josuehenriquezda@icloud.com</t>
  </si>
  <si>
    <t>Calle 56i # 89 - 52 Br las cabañas bosa</t>
  </si>
  <si>
    <t>3224105978 nequi</t>
  </si>
  <si>
    <t>Calle 57a sur #  87b - 40 Br: bosa escocia</t>
  </si>
  <si>
    <t>3045932343 Nequi</t>
  </si>
  <si>
    <t>JUAN CARLOS MORENO GUERRA</t>
  </si>
  <si>
    <t>junasitomoreno@gmail.com</t>
  </si>
  <si>
    <t>Calle 56h # 95a - 27 Br: Bosa santafe</t>
  </si>
  <si>
    <t>62236821 Nu</t>
  </si>
  <si>
    <t>kevinbarones09@gmail.com</t>
  </si>
  <si>
    <t>3156762614 nequi</t>
  </si>
  <si>
    <t>4.993.871</t>
  </si>
  <si>
    <t>KRYSTAL GABRIELA CASTRO MONTILLA</t>
  </si>
  <si>
    <t>kmontilla2662@gmail.com</t>
  </si>
  <si>
    <t>3042046565 Daviplata</t>
  </si>
  <si>
    <t>MARIA FERNANDA MANCERA SILVA</t>
  </si>
  <si>
    <t>mariamancera1021@gmail.com</t>
  </si>
  <si>
    <t>Cra 77j # 68 - 67 sur San Pablo II Sector</t>
  </si>
  <si>
    <t>10056079799 B/bia</t>
  </si>
  <si>
    <t>MARYULIS YUSMARIS ARIAS ARIAS</t>
  </si>
  <si>
    <t>maryulis2003@gmail.com</t>
  </si>
  <si>
    <t>Carrera 77j # 65j sur 79 Br: bosa san pablo</t>
  </si>
  <si>
    <t>NADDINGER DAVID GUINAND SEQUERA</t>
  </si>
  <si>
    <t>naddingdavid@gmailcom</t>
  </si>
  <si>
    <t>Transversal 88b # 72 - 15 Br san bernardino</t>
  </si>
  <si>
    <t>13/02/2026</t>
  </si>
  <si>
    <t>48251805 Nu</t>
  </si>
  <si>
    <t>og0342442@gmailcom</t>
  </si>
  <si>
    <t>SKERLY NAILEX VALERO BRICEÑO</t>
  </si>
  <si>
    <t>skerlyvalero423@gmailcom</t>
  </si>
  <si>
    <t>04248037510*</t>
  </si>
  <si>
    <t>wiliannysguzman62@gmail.com</t>
  </si>
  <si>
    <t>24123020415 Bcsc</t>
  </si>
  <si>
    <t>YARELIS ESTHER SEVILLA PADILLA</t>
  </si>
  <si>
    <t>yarelissevilla3@gmail.com</t>
  </si>
  <si>
    <t>Carrera 95 # 56f - 45 sur Br: Bosa santa fe</t>
  </si>
  <si>
    <t>avilayhongervis8@gmail.com</t>
  </si>
  <si>
    <t>Calle 56h sur # 95a -04 Br: bosa santa fe</t>
  </si>
  <si>
    <t>ADRIANA MARTINEZ VALENCIA</t>
  </si>
  <si>
    <t>adriana98000@hotmailcom</t>
  </si>
  <si>
    <t>Calle 46 # 9 - 18 Br: Leon XIII</t>
  </si>
  <si>
    <t>ANDERSON ESNEIDER FERNANDEZ ACUÑA</t>
  </si>
  <si>
    <t>ANGELICA MARIA GARZON NOGUERA</t>
  </si>
  <si>
    <t>angelhorizontalista@hotmailcom</t>
  </si>
  <si>
    <t>CRISTIAN CALETH CRUZ HERNANDEZ</t>
  </si>
  <si>
    <t>Marcecrismch@gmailcom</t>
  </si>
  <si>
    <t>DAIRET KARELIS CAMICELLA GUTIERREZ</t>
  </si>
  <si>
    <t>daicamicella20@gmailcom</t>
  </si>
  <si>
    <t>Calle 49 sur # 80i - 21 Br: Keneddy Britalia</t>
  </si>
  <si>
    <t>31/3/2025</t>
  </si>
  <si>
    <t>DARYIN ALEXANDRA GOMEZ ORTEGON</t>
  </si>
  <si>
    <t>daryingomez@gmailcom</t>
  </si>
  <si>
    <t>Calle 126c # 104a - 83 Br: Corinto Suba</t>
  </si>
  <si>
    <t>19/11/2024</t>
  </si>
  <si>
    <t>Carrera 95b calle 56h sur Br: Bosa el anehelo</t>
  </si>
  <si>
    <t>DOUGLEYSIS GABRIELA MORALES RIERA</t>
  </si>
  <si>
    <t>No informa</t>
  </si>
  <si>
    <t>whatsapp314damian@gmailcom</t>
  </si>
  <si>
    <t>Cra 87b # 66c sur - 59 Br: Bosa San Pedro</t>
  </si>
  <si>
    <t>17/3/2025</t>
  </si>
  <si>
    <t>FRANCISCO JOSE ROMERO MELENDEZ</t>
  </si>
  <si>
    <t>franciscoromero0102@gmailcom</t>
  </si>
  <si>
    <t>Carrera 81f # 68 - 09 Br: Bosa palestina</t>
  </si>
  <si>
    <t>FREIVER EDUARDO SEQUERA OLIVEROS</t>
  </si>
  <si>
    <t>feso122@gmail.com</t>
  </si>
  <si>
    <t>Calle 57c sur # 81d - 01 Br: Roma Keneddy</t>
  </si>
  <si>
    <t>24/6/2025</t>
  </si>
  <si>
    <t>GABRIEL ALEJANDRO MONTERO FLOREZ</t>
  </si>
  <si>
    <t>gabo2808montero@gmailcom</t>
  </si>
  <si>
    <t>Calle 72a sur # 83a - 22 Br: bosa islandia</t>
  </si>
  <si>
    <t>Carrera 94b # 58 - 10 sur bosa</t>
  </si>
  <si>
    <t>GULLINCKSON JAVIER RODRIGUEZ TORRES</t>
  </si>
  <si>
    <t>gullincksonjavierrodrodrigueztorres@gmailcom</t>
  </si>
  <si>
    <t>Carera 69 # 68 sur Br: Tres reyes</t>
  </si>
  <si>
    <t>JESSICA PAOLA HERNANDEZ GARZON</t>
  </si>
  <si>
    <t>jesicah776@gmailcom</t>
  </si>
  <si>
    <t>Calle 71 sur # 97c - 50 Br: Bosa El Recreo</t>
  </si>
  <si>
    <t>JOHAN CAMILO QUITIAN LLANOS</t>
  </si>
  <si>
    <t xml:space="preserve">santiagoaaaa@gmailcom
</t>
  </si>
  <si>
    <t>Transversal 28a este # 41d - 41 Br: Soacha altos de Cazuca</t>
  </si>
  <si>
    <t>JONATHAN ARDILA PAEZ</t>
  </si>
  <si>
    <t>jhonatanfabianardila@gmailcom</t>
  </si>
  <si>
    <t>Carrera 81j # 58k - sur 43 Bosa</t>
  </si>
  <si>
    <t>Daniz2005fer@gmailcom</t>
  </si>
  <si>
    <t>Carrera 88C # 56F - 51 Sur Bosa San Martin</t>
  </si>
  <si>
    <t>20/1/2025</t>
  </si>
  <si>
    <t>JOSE RICARDO PEÑA SANCHEZ</t>
  </si>
  <si>
    <t>sanchezmanuel0594@gmailcom</t>
  </si>
  <si>
    <t>Calle 53 Bis # 25 - 28 Br: Galerias</t>
  </si>
  <si>
    <t>KENNY ANDRES RONDANO CARDENAS</t>
  </si>
  <si>
    <t>30/09/2005</t>
  </si>
  <si>
    <t>srondanocardenas@gmailcom</t>
  </si>
  <si>
    <t>Carrera 5a Calle 127 - 22 Usaquen</t>
  </si>
  <si>
    <t>23/5/2025</t>
  </si>
  <si>
    <t>KEVIN ALEJANDRO MANJARREZ TORRES</t>
  </si>
  <si>
    <t>alejandroonose321@gmailcom</t>
  </si>
  <si>
    <t>Carrera 87d # 49 sur - 57 Br: Bosa Brasilia</t>
  </si>
  <si>
    <t>kristiancastro919@gmailcom</t>
  </si>
  <si>
    <t>LAURA VIVIANA TORRES ZARATE</t>
  </si>
  <si>
    <t>1lauravivis4@gmailcom</t>
  </si>
  <si>
    <t>Calle 53a sur # 87b -22 apto 301 chicala</t>
  </si>
  <si>
    <t>16/9/2024</t>
  </si>
  <si>
    <t>LILIAN ROSA RODRIGUEZ MARTINEZ</t>
  </si>
  <si>
    <t>romerorodriguezlaiadanitza@gmailcom</t>
  </si>
  <si>
    <t>Calle 58 sur # 84 - 19 Br: Bosa la paz</t>
  </si>
  <si>
    <t>LUIS EDUARDO ROSAL GONZALES</t>
  </si>
  <si>
    <t>rosalluis406@gmailcom</t>
  </si>
  <si>
    <t>MANUEL ALEXANDER SANCHEZ PEÑA</t>
  </si>
  <si>
    <t>Richiee0705@gmailcom</t>
  </si>
  <si>
    <t>MARTA MARIA YANEZ DUARTE</t>
  </si>
  <si>
    <t>martay729@gmailcom</t>
  </si>
  <si>
    <t>Diagonal 73 bis sur # 63a - 89 Br: Bosa Islandia</t>
  </si>
  <si>
    <t>MICHAELL STEVEN GUTIERREZ ZARAZA</t>
  </si>
  <si>
    <t>michaell30steven@gmailcom</t>
  </si>
  <si>
    <t>Calle 62c sur # 87h - 82 Br: Bosa la libertad</t>
  </si>
  <si>
    <t>MIGDELYS KARINA DEL CARMEN GUDIÑO</t>
  </si>
  <si>
    <t>karinagm1711@gmailcom</t>
  </si>
  <si>
    <t>Transversal 80h # 69 - 36 Br: Bosa Naranjos</t>
  </si>
  <si>
    <t>NELVIS ALFONSO PEROZO JIMENEZ</t>
  </si>
  <si>
    <t>perozonelvis@gmailcom</t>
  </si>
  <si>
    <t>Calle 69a bis sur # 79 -10 bosa piamonte</t>
  </si>
  <si>
    <t>PAULA STEFANIA VARGAS TORRES</t>
  </si>
  <si>
    <t>vargaspaulita12@gmailcom</t>
  </si>
  <si>
    <t>Calle 64 sur # 80 - 58 Br: bosa centro</t>
  </si>
  <si>
    <t>YASLENY RAMONA ROMERO</t>
  </si>
  <si>
    <t>yaslenyromero347@gmailcom</t>
  </si>
  <si>
    <t>Carrera 81 # 75 - 85 sur Br: bosa villa javier</t>
  </si>
  <si>
    <t>1.000.034.171</t>
  </si>
  <si>
    <t>CRISTIAN CAMILO BARRERA AYALA</t>
  </si>
  <si>
    <t>c.barrera.a123@gmail.com</t>
  </si>
  <si>
    <t>6.755.726</t>
  </si>
  <si>
    <t>JHOSSEP ABEL BALLESTEROS RODRIGUEZ</t>
  </si>
  <si>
    <t>jhossepabel7@gmail.com</t>
  </si>
  <si>
    <t>Carrera 89 # 70c sur - 15 Br: Bosa el Remanso</t>
  </si>
  <si>
    <t>19/8/2025</t>
  </si>
  <si>
    <t>ANDERSON DE JESUS ANAHOLE CASTILLO</t>
  </si>
  <si>
    <t>andersonanahole@gmail.com</t>
  </si>
  <si>
    <t>Calle 56h sur # 96b Br: el anhelo bosa santa fe</t>
  </si>
  <si>
    <t>16/12/2025</t>
  </si>
  <si>
    <t>JHON ALFONZO ACONDO MENDOZA</t>
  </si>
  <si>
    <t>johannalyocando07@gmail.com</t>
  </si>
  <si>
    <t>Calle 56h sur # 95 - 4 Bosa Porvenir</t>
  </si>
  <si>
    <t>Pte</t>
  </si>
  <si>
    <t>JOHAN STIVEN GUILLERMO QUEVEDO</t>
  </si>
  <si>
    <t>lizarazok44@gmail.com</t>
  </si>
  <si>
    <t>YEIMY NICOLE BUITRAGO TORO</t>
  </si>
  <si>
    <t>ybuitragotoro@gmail.com</t>
  </si>
  <si>
    <t>Carrera 87 # 129b - 96 Br: suba rincon</t>
  </si>
  <si>
    <t>19/9/2025</t>
  </si>
  <si>
    <t>DOUGLAS MIGUEL CASTILLO BERICOTO</t>
  </si>
  <si>
    <t>douglascastillo96021@gmail.com</t>
  </si>
  <si>
    <t>Carrera 91A # 54D - 47 sur Brr: Bosa el anehelo santafe</t>
  </si>
  <si>
    <t>MICHEL COROMOTO NAVA MONTERO</t>
  </si>
  <si>
    <t>michelnava49187@gmail.com</t>
  </si>
  <si>
    <t>Calle 56 # 95a 21 sur Br: Bosa santafe</t>
  </si>
  <si>
    <t>50684562514 b/bia</t>
  </si>
  <si>
    <t>JOSEPH DAVID SALVADOR HOYOS</t>
  </si>
  <si>
    <t>jdshprof849@gmail.com</t>
  </si>
  <si>
    <t>Calle 17c # 135 - 43 Br: la alameda fontibon</t>
  </si>
  <si>
    <t>3242772538 nequi</t>
  </si>
  <si>
    <t>figueredojose@gmail.com</t>
  </si>
  <si>
    <t>19/1/2026</t>
  </si>
  <si>
    <t>KEIBER ALEXIS BOLIVAR CASTILLO</t>
  </si>
  <si>
    <t>keybolivars@gmail.com</t>
  </si>
  <si>
    <t>Carrera 98a # 58 - 66 Br: Bosa santa fe</t>
  </si>
  <si>
    <t>28/11/2025</t>
  </si>
  <si>
    <t>GISELLE XIOMARA SAAVEDRA GONZALEZ</t>
  </si>
  <si>
    <t>gisellexsaavedra@gmail.com</t>
  </si>
  <si>
    <t>Cra 18a # 58 - 14 sur Br: San Benito tunjuelito</t>
  </si>
  <si>
    <t>3116588055 Nequi</t>
  </si>
  <si>
    <t xml:space="preserve">ALEIKA ALEJANDRA PERALTA MENDOZA </t>
  </si>
  <si>
    <t>aleikaperalta44@gmail.com</t>
  </si>
  <si>
    <t>Carrera 96a # 57 - 75 Br: Bosa santa fe</t>
  </si>
  <si>
    <t>3018982854 Nequi</t>
  </si>
  <si>
    <t>525523007895 *</t>
  </si>
  <si>
    <t>Carrera 88h # 4d sur - 37 Bosa Brasil</t>
  </si>
  <si>
    <t>JULIENIS NICOL ESTRELLA LOPEZ COLMENARES</t>
  </si>
  <si>
    <t>527717634259 *</t>
  </si>
  <si>
    <t>estrellalc2329@gmail.com</t>
  </si>
  <si>
    <t>Carrera 88h # 49d sur - 37 Bosa Brasil</t>
  </si>
  <si>
    <t>ANDRI JOSUE CALDERON PEREZ</t>
  </si>
  <si>
    <t>andricalderon812@gmail.com</t>
  </si>
  <si>
    <t>Calle 65d sur # 78k - 34 Br: Bosa la amistad</t>
  </si>
  <si>
    <t>3232372072 Nequi</t>
  </si>
  <si>
    <t>JARVIS JOSE NAVARRO BARRETO</t>
  </si>
  <si>
    <t>naranjavis21@gmail.com</t>
  </si>
  <si>
    <t>YARIMARIEL GALINDO HERNANDEZ</t>
  </si>
  <si>
    <t>yarimarielgh01@gmail.com</t>
  </si>
  <si>
    <t>Carrera 77i Bis # 65c - 11 Sur Brr: Bosa Azucena</t>
  </si>
  <si>
    <t>MICHAEL STIVEN PRIETO</t>
  </si>
  <si>
    <t>29/09/1993</t>
  </si>
  <si>
    <t>msprieto718@gmail.com</t>
  </si>
  <si>
    <t>No reporta</t>
  </si>
  <si>
    <t>JHONNYS ISAC GONZALEZ REQUENA</t>
  </si>
  <si>
    <t>j37301384@gmail.com</t>
  </si>
  <si>
    <t>Carrera 94b # 56f sur Bosa el anehelo Santa fe</t>
  </si>
  <si>
    <t>JOSE GREGORIO ESCALA</t>
  </si>
  <si>
    <t>josegregorioescala.43@gmail.com</t>
  </si>
  <si>
    <t>VERONICA YOLYANA PATIÑO ESCORIHUELA</t>
  </si>
  <si>
    <t>veri02526@gmail.com</t>
  </si>
  <si>
    <t>3023569350 Nequi</t>
  </si>
  <si>
    <t>15242264eduard@gmail.com</t>
  </si>
  <si>
    <t>Calle 56h sur # 95a - 10 Br: Bosa el Anehelo</t>
  </si>
  <si>
    <t>24134707921 Bcsc</t>
  </si>
  <si>
    <t>CHRISTIAN ALFONSO GUARNIZO BABATIVA</t>
  </si>
  <si>
    <t>cristiianguarnizo@gmail.com</t>
  </si>
  <si>
    <t>Carrera 9 este # 38 - 40 Br: San Mateo Soacha</t>
  </si>
  <si>
    <t>CAMILO</t>
  </si>
  <si>
    <t>RAMON JOSE CORTEZ PEREZ</t>
  </si>
  <si>
    <t>rjhoseperez.oficoal@gmail.com</t>
  </si>
  <si>
    <t>CARLOS MOISES RODRIGUEZ MENDOZA</t>
  </si>
  <si>
    <t>carmoises25@gmail.com</t>
  </si>
  <si>
    <t>HAROLD STEBEN CASAS TORRES</t>
  </si>
  <si>
    <t>28/02/2026</t>
  </si>
  <si>
    <t>SANTIAGO ZIPA ACUÑA</t>
  </si>
  <si>
    <t>ALESSANDRO DAVID CEDEÓ SANCHEZ</t>
  </si>
  <si>
    <t>LINA FERNANDO VENTERO QUIROGA</t>
  </si>
  <si>
    <t>7.108.408</t>
  </si>
  <si>
    <t>LUISA FERNANDA PEREZ AMAYA</t>
  </si>
  <si>
    <t>HIJOS</t>
  </si>
  <si>
    <t>PAREJA</t>
  </si>
  <si>
    <t>Si</t>
  </si>
  <si>
    <t>Mayores</t>
  </si>
  <si>
    <t>Niña</t>
  </si>
  <si>
    <t>Niño</t>
  </si>
  <si>
    <t>Mayore</t>
  </si>
  <si>
    <t>Niños</t>
  </si>
  <si>
    <t>Total</t>
  </si>
  <si>
    <t>SUELDO</t>
  </si>
  <si>
    <t>SI</t>
  </si>
  <si>
    <t>NO</t>
  </si>
  <si>
    <t>Auxiliar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</si>
</sst>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/m/yyyy"/>
    <numFmt numFmtId="166" formatCode="&quot;$&quot;#,##0"/>
    <numFmt numFmtId="167" formatCode="d&quot;/&quot;mm&quot;/&quot;yyyy"/>
    <numFmt numFmtId="168" formatCode="d&quot;/&quot;m&quot;/&quot;yyyy"/>
    <numFmt numFmtId="169" formatCode="dd&quot;/&quot;m&quot;/&quot;yyyy"/>
    <numFmt numFmtId="170" formatCode="m/d/yyyy"/>
    <numFmt numFmtId="171" formatCode="dd/mm/yyyy"/>
    <numFmt numFmtId="172" formatCode="dd&quot;/&quot;m&quot;/&quot;yy"/>
    <numFmt numFmtId="173" formatCode="mm/dd/yyyy"/>
  </numFmts>
  <fonts count="15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A64D79"/>
      <name val="Calibri"/>
    </font>
    <font>
      <b/>
      <sz val="10.0"/>
      <color theme="1"/>
      <name val="Calibri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color rgb="FF000000"/>
      <name val="Calibri"/>
    </font>
    <font>
      <b/>
      <color rgb="FFFFFFFF"/>
      <name val="Calibri"/>
    </font>
    <font>
      <b/>
      <color theme="1"/>
      <name val="Calibri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1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4" fontId="2" numFmtId="41" xfId="0" applyAlignment="1" applyBorder="1" applyFont="1" applyNumberFormat="1">
      <alignment horizontal="center" readingOrder="0" shrinkToFit="0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164" xfId="0" applyAlignment="1" applyBorder="1" applyFont="1" applyNumberFormat="1">
      <alignment horizontal="center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/>
    </xf>
    <xf borderId="1" fillId="4" fontId="2" numFmtId="165" xfId="0" applyAlignment="1" applyBorder="1" applyFont="1" applyNumberFormat="1">
      <alignment horizontal="center" shrinkToFit="0" wrapText="1"/>
    </xf>
    <xf borderId="1" fillId="5" fontId="2" numFmtId="0" xfId="0" applyAlignment="1" applyBorder="1" applyFill="1" applyFont="1">
      <alignment horizontal="center"/>
    </xf>
    <xf borderId="1" fillId="4" fontId="2" numFmtId="166" xfId="0" applyAlignment="1" applyBorder="1" applyFont="1" applyNumberForma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4" fontId="2" numFmtId="167" xfId="0" applyAlignment="1" applyBorder="1" applyFont="1" applyNumberFormat="1">
      <alignment horizontal="center" shrinkToFit="0" wrapText="1"/>
    </xf>
    <xf borderId="1" fillId="4" fontId="2" numFmtId="166" xfId="0" applyAlignment="1" applyBorder="1" applyFont="1" applyNumberFormat="1">
      <alignment horizontal="center" readingOrder="0" shrinkToFit="0" wrapText="1"/>
    </xf>
    <xf borderId="1" fillId="4" fontId="4" numFmtId="0" xfId="0" applyAlignment="1" applyBorder="1" applyFont="1">
      <alignment horizontal="center" shrinkToFit="0" wrapText="1"/>
    </xf>
    <xf borderId="1" fillId="4" fontId="2" numFmtId="168" xfId="0" applyAlignment="1" applyBorder="1" applyFont="1" applyNumberFormat="1">
      <alignment horizontal="center" shrinkToFit="0" wrapText="1"/>
    </xf>
    <xf borderId="1" fillId="4" fontId="2" numFmtId="169" xfId="0" applyAlignment="1" applyBorder="1" applyFont="1" applyNumberFormat="1">
      <alignment horizontal="center" shrinkToFit="0" wrapText="1"/>
    </xf>
    <xf borderId="1" fillId="4" fontId="2" numFmtId="170" xfId="0" applyAlignment="1" applyBorder="1" applyFont="1" applyNumberFormat="1">
      <alignment horizontal="center" readingOrder="0" shrinkToFit="0" wrapText="1"/>
    </xf>
    <xf borderId="1" fillId="4" fontId="5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vertical="bottom"/>
    </xf>
    <xf borderId="2" fillId="0" fontId="6" numFmtId="41" xfId="0" applyAlignment="1" applyBorder="1" applyFont="1" applyNumberFormat="1">
      <alignment horizontal="center" readingOrder="0" vertical="bottom"/>
    </xf>
    <xf borderId="2" fillId="4" fontId="6" numFmtId="0" xfId="0" applyAlignment="1" applyBorder="1" applyFont="1">
      <alignment horizontal="center" vertical="center"/>
    </xf>
    <xf borderId="2" fillId="0" fontId="6" numFmtId="168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center"/>
    </xf>
    <xf borderId="1" fillId="4" fontId="6" numFmtId="166" xfId="0" applyAlignment="1" applyBorder="1" applyFont="1" applyNumberFormat="1">
      <alignment horizontal="center" shrinkToFit="0" vertical="bottom" wrapText="1"/>
    </xf>
    <xf borderId="1" fillId="4" fontId="2" numFmtId="171" xfId="0" applyAlignment="1" applyBorder="1" applyFont="1" applyNumberFormat="1">
      <alignment horizontal="center" shrinkToFit="0" wrapText="1"/>
    </xf>
    <xf borderId="3" fillId="4" fontId="2" numFmtId="0" xfId="0" applyAlignment="1" applyBorder="1" applyFon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167" xfId="0" applyAlignment="1" applyBorder="1" applyFont="1" applyNumberFormat="1">
      <alignment horizontal="center"/>
    </xf>
    <xf borderId="1" fillId="4" fontId="6" numFmtId="166" xfId="0" applyAlignment="1" applyBorder="1" applyFont="1" applyNumberFormat="1">
      <alignment horizontal="center" readingOrder="0" shrinkToFit="0" vertical="bottom" wrapText="1"/>
    </xf>
    <xf borderId="3" fillId="4" fontId="3" numFmtId="0" xfId="0" applyAlignment="1" applyBorder="1" applyFont="1">
      <alignment horizontal="center" shrinkToFit="0" wrapText="1"/>
    </xf>
    <xf borderId="3" fillId="4" fontId="2" numFmtId="0" xfId="0" applyAlignment="1" applyBorder="1" applyFont="1">
      <alignment horizontal="center" readingOrder="0" shrinkToFit="0" wrapText="1"/>
    </xf>
    <xf borderId="3" fillId="4" fontId="4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/>
    </xf>
    <xf borderId="1" fillId="4" fontId="6" numFmtId="167" xfId="0" applyAlignment="1" applyBorder="1" applyFont="1" applyNumberFormat="1">
      <alignment horizontal="center" shrinkToFit="0" wrapText="1"/>
    </xf>
    <xf borderId="1" fillId="4" fontId="6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167" xfId="0" applyAlignment="1" applyBorder="1" applyFont="1" applyNumberFormat="1">
      <alignment horizontal="center" readingOrder="0" shrinkToFit="0" wrapText="1"/>
    </xf>
    <xf borderId="1" fillId="0" fontId="2" numFmtId="169" xfId="0" applyAlignment="1" applyBorder="1" applyFont="1" applyNumberFormat="1">
      <alignment horizontal="center"/>
    </xf>
    <xf borderId="1" fillId="0" fontId="2" numFmtId="170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vertical="center"/>
    </xf>
    <xf borderId="1" fillId="4" fontId="2" numFmtId="165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vertical="bottom"/>
    </xf>
    <xf borderId="1" fillId="0" fontId="6" numFmtId="41" xfId="0" applyAlignment="1" applyBorder="1" applyFont="1" applyNumberFormat="1">
      <alignment horizontal="center" readingOrder="0" vertical="bottom"/>
    </xf>
    <xf borderId="2" fillId="4" fontId="2" numFmtId="166" xfId="0" applyAlignment="1" applyBorder="1" applyFont="1" applyNumberFormat="1">
      <alignment horizontal="center" shrinkToFit="0" wrapText="1"/>
    </xf>
    <xf borderId="1" fillId="4" fontId="3" numFmtId="0" xfId="0" applyAlignment="1" applyBorder="1" applyFont="1">
      <alignment horizontal="center"/>
    </xf>
    <xf borderId="1" fillId="4" fontId="2" numFmtId="1" xfId="0" applyAlignment="1" applyBorder="1" applyFont="1" applyNumberFormat="1">
      <alignment horizontal="center" readingOrder="0" shrinkToFit="0" wrapText="1"/>
    </xf>
    <xf borderId="3" fillId="4" fontId="3" numFmtId="0" xfId="0" applyAlignment="1" applyBorder="1" applyFont="1">
      <alignment horizontal="center" readingOrder="0" shrinkToFit="0" wrapText="1"/>
    </xf>
    <xf borderId="4" fillId="4" fontId="2" numFmtId="0" xfId="0" applyAlignment="1" applyBorder="1" applyFont="1">
      <alignment horizontal="center" shrinkToFit="0" vertical="center" wrapText="1"/>
    </xf>
    <xf borderId="4" fillId="4" fontId="2" numFmtId="167" xfId="0" applyAlignment="1" applyBorder="1" applyFont="1" applyNumberFormat="1">
      <alignment horizontal="center" shrinkToFit="0" wrapText="1"/>
    </xf>
    <xf borderId="4" fillId="4" fontId="2" numFmtId="0" xfId="0" applyAlignment="1" applyBorder="1" applyFont="1">
      <alignment horizontal="center" shrinkToFit="0" wrapText="1"/>
    </xf>
    <xf borderId="4" fillId="4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shrinkToFit="0" vertical="bottom" wrapText="1"/>
    </xf>
    <xf borderId="1" fillId="4" fontId="2" numFmtId="41" xfId="0" applyAlignment="1" applyBorder="1" applyFont="1" applyNumberFormat="1">
      <alignment horizontal="center" readingOrder="0" shrinkToFit="0" vertical="bottom" wrapText="1"/>
    </xf>
    <xf borderId="1" fillId="4" fontId="2" numFmtId="165" xfId="0" applyAlignment="1" applyBorder="1" applyFont="1" applyNumberFormat="1">
      <alignment horizontal="center" shrinkToFit="0" vertical="bottom" wrapText="1"/>
    </xf>
    <xf borderId="1" fillId="4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1" fillId="4" fontId="2" numFmtId="164" xfId="0" applyAlignment="1" applyBorder="1" applyFont="1" applyNumberFormat="1">
      <alignment horizontal="center" shrinkToFit="0" vertical="bottom" wrapText="1"/>
    </xf>
    <xf borderId="1" fillId="0" fontId="2" numFmtId="165" xfId="0" applyAlignment="1" applyBorder="1" applyFont="1" applyNumberFormat="1">
      <alignment horizontal="center" vertical="bottom"/>
    </xf>
    <xf borderId="2" fillId="4" fontId="2" numFmtId="41" xfId="0" applyAlignment="1" applyBorder="1" applyFont="1" applyNumberFormat="1">
      <alignment horizontal="center" readingOrder="0" shrinkToFit="0" wrapText="1"/>
    </xf>
    <xf borderId="2" fillId="4" fontId="2" numFmtId="0" xfId="0" applyAlignment="1" applyBorder="1" applyFont="1">
      <alignment horizontal="center" shrinkToFit="0" vertical="center" wrapText="1"/>
    </xf>
    <xf borderId="2" fillId="4" fontId="2" numFmtId="168" xfId="0" applyAlignment="1" applyBorder="1" applyFont="1" applyNumberFormat="1">
      <alignment horizontal="center" shrinkToFit="0" wrapText="1"/>
    </xf>
    <xf borderId="2" fillId="4" fontId="2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center" readingOrder="0" shrinkToFit="0" wrapText="1"/>
    </xf>
    <xf borderId="3" fillId="4" fontId="6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readingOrder="0" vertical="bottom"/>
    </xf>
    <xf borderId="4" fillId="4" fontId="6" numFmtId="0" xfId="0" applyAlignment="1" applyBorder="1" applyFont="1">
      <alignment horizontal="center" vertical="bottom"/>
    </xf>
    <xf borderId="1" fillId="4" fontId="6" numFmtId="165" xfId="0" applyAlignment="1" applyBorder="1" applyFont="1" applyNumberFormat="1">
      <alignment horizontal="center" vertical="bottom"/>
    </xf>
    <xf borderId="4" fillId="4" fontId="6" numFmtId="0" xfId="0" applyAlignment="1" applyBorder="1" applyFont="1">
      <alignment horizontal="center" shrinkToFit="0" vertical="bottom" wrapText="1"/>
    </xf>
    <xf borderId="3" fillId="4" fontId="2" numFmtId="164" xfId="0" applyAlignment="1" applyBorder="1" applyFont="1" applyNumberFormat="1">
      <alignment horizontal="center" shrinkToFit="0" wrapText="1"/>
    </xf>
    <xf borderId="2" fillId="4" fontId="2" numFmtId="49" xfId="0" applyAlignment="1" applyBorder="1" applyFont="1" applyNumberFormat="1">
      <alignment horizontal="center" readingOrder="0" shrinkToFit="0" wrapText="1"/>
    </xf>
    <xf borderId="0" fillId="0" fontId="7" numFmtId="0" xfId="0" applyAlignment="1" applyFont="1">
      <alignment horizontal="center"/>
    </xf>
    <xf borderId="0" fillId="0" fontId="8" numFmtId="165" xfId="0" applyFont="1" applyNumberFormat="1"/>
    <xf borderId="0" fillId="0" fontId="8" numFmtId="0" xfId="0" applyAlignment="1" applyFont="1">
      <alignment readingOrder="0"/>
    </xf>
    <xf borderId="1" fillId="2" fontId="1" numFmtId="0" xfId="0" applyAlignment="1" applyBorder="1" applyFont="1">
      <alignment horizontal="center" shrinkToFit="0" wrapText="1"/>
    </xf>
    <xf borderId="1" fillId="2" fontId="1" numFmtId="41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3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1" fillId="0" fontId="2" numFmtId="164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 readingOrder="0"/>
    </xf>
    <xf borderId="1" fillId="0" fontId="6" numFmtId="169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center" shrinkToFit="0" vertical="bottom" wrapText="1"/>
    </xf>
    <xf borderId="1" fillId="0" fontId="6" numFmtId="3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 vertical="bottom"/>
    </xf>
    <xf borderId="1" fillId="0" fontId="2" numFmtId="167" xfId="0" applyAlignment="1" applyBorder="1" applyFont="1" applyNumberFormat="1">
      <alignment horizontal="center" vertical="bottom"/>
    </xf>
    <xf borderId="1" fillId="4" fontId="6" numFmtId="166" xfId="0" applyAlignment="1" applyBorder="1" applyFont="1" applyNumberFormat="1">
      <alignment horizontal="center" readingOrder="0" shrinkToFit="0" vertical="bottom" wrapText="1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2" numFmtId="169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4" fillId="4" fontId="2" numFmtId="164" xfId="0" applyAlignment="1" applyBorder="1" applyFont="1" applyNumberFormat="1">
      <alignment horizontal="center" shrinkToFit="0" wrapText="1"/>
    </xf>
    <xf borderId="4" fillId="4" fontId="2" numFmtId="166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readingOrder="0" vertical="bottom"/>
    </xf>
    <xf borderId="1" fillId="0" fontId="2" numFmtId="169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0" fontId="6" numFmtId="167" xfId="0" applyAlignment="1" applyBorder="1" applyFont="1" applyNumberFormat="1">
      <alignment horizontal="center" readingOrder="0" vertical="bottom"/>
    </xf>
    <xf borderId="3" fillId="4" fontId="6" numFmtId="0" xfId="0" applyAlignment="1" applyBorder="1" applyFont="1">
      <alignment horizontal="center" readingOrder="0" vertical="bottom"/>
    </xf>
    <xf borderId="3" fillId="4" fontId="6" numFmtId="169" xfId="0" applyAlignment="1" applyBorder="1" applyFont="1" applyNumberFormat="1">
      <alignment horizontal="center" vertical="bottom"/>
    </xf>
    <xf borderId="3" fillId="0" fontId="2" numFmtId="164" xfId="0" applyAlignment="1" applyBorder="1" applyFont="1" applyNumberFormat="1">
      <alignment horizontal="center"/>
    </xf>
    <xf borderId="1" fillId="0" fontId="6" numFmtId="167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2" numFmtId="3" xfId="0" applyAlignment="1" applyBorder="1" applyFont="1" applyNumberFormat="1">
      <alignment horizontal="center" readingOrder="0"/>
    </xf>
    <xf borderId="1" fillId="4" fontId="6" numFmtId="169" xfId="0" applyAlignment="1" applyBorder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horizontal="center" readingOrder="0" vertical="bottom"/>
    </xf>
    <xf borderId="1" fillId="4" fontId="2" numFmtId="169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readingOrder="0"/>
    </xf>
    <xf borderId="1" fillId="4" fontId="2" numFmtId="3" xfId="0" applyAlignment="1" applyBorder="1" applyFont="1" applyNumberFormat="1">
      <alignment horizontal="center" readingOrder="0"/>
    </xf>
    <xf borderId="1" fillId="4" fontId="2" numFmtId="169" xfId="0" applyAlignment="1" applyBorder="1" applyFont="1" applyNumberFormat="1">
      <alignment horizontal="center" readingOrder="0"/>
    </xf>
    <xf borderId="1" fillId="0" fontId="2" numFmtId="172" xfId="0" applyAlignment="1" applyBorder="1" applyFont="1" applyNumberFormat="1">
      <alignment horizontal="center" readingOrder="0"/>
    </xf>
    <xf borderId="2" fillId="4" fontId="2" numFmtId="169" xfId="0" applyAlignment="1" applyBorder="1" applyFont="1" applyNumberFormat="1">
      <alignment horizontal="center" shrinkToFit="0" wrapText="1"/>
    </xf>
    <xf borderId="1" fillId="4" fontId="2" numFmtId="167" xfId="0" applyAlignment="1" applyBorder="1" applyFont="1" applyNumberFormat="1">
      <alignment horizontal="center"/>
    </xf>
    <xf borderId="3" fillId="0" fontId="2" numFmtId="167" xfId="0" applyAlignment="1" applyBorder="1" applyFont="1" applyNumberFormat="1">
      <alignment horizontal="center"/>
    </xf>
    <xf borderId="1" fillId="0" fontId="2" numFmtId="169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169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shrinkToFit="0" vertical="bottom" wrapText="1"/>
    </xf>
    <xf borderId="1" fillId="4" fontId="6" numFmtId="169" xfId="0" applyAlignment="1" applyBorder="1" applyFont="1" applyNumberFormat="1">
      <alignment horizontal="center" readingOrder="0" vertical="bottom"/>
    </xf>
    <xf borderId="2" fillId="4" fontId="6" numFmtId="0" xfId="0" applyAlignment="1" applyBorder="1" applyFont="1">
      <alignment horizontal="center" shrinkToFit="0" vertical="bottom" wrapText="1"/>
    </xf>
    <xf borderId="1" fillId="4" fontId="6" numFmtId="166" xfId="0" applyAlignment="1" applyBorder="1" applyFont="1" applyNumberFormat="1">
      <alignment horizontal="center" shrinkToFit="0" vertical="bottom" wrapText="1"/>
    </xf>
    <xf borderId="1" fillId="4" fontId="6" numFmtId="0" xfId="0" applyAlignment="1" applyBorder="1" applyFon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readingOrder="0" shrinkToFit="0" vertical="bottom" wrapText="1"/>
    </xf>
    <xf borderId="1" fillId="4" fontId="6" numFmtId="0" xfId="0" applyAlignment="1" applyBorder="1" applyFont="1">
      <alignment horizontal="center" shrinkToFit="0" vertical="bottom" wrapText="1"/>
    </xf>
    <xf borderId="2" fillId="0" fontId="2" numFmtId="3" xfId="0" applyAlignment="1" applyBorder="1" applyFont="1" applyNumberFormat="1">
      <alignment horizontal="center" readingOrder="0"/>
    </xf>
    <xf borderId="2" fillId="4" fontId="2" numFmtId="0" xfId="0" applyAlignment="1" applyBorder="1" applyFont="1">
      <alignment horizontal="center"/>
    </xf>
    <xf borderId="2" fillId="0" fontId="2" numFmtId="16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1" fillId="4" fontId="2" numFmtId="169" xfId="0" applyAlignment="1" applyBorder="1" applyFont="1" applyNumberFormat="1">
      <alignment horizontal="center"/>
    </xf>
    <xf borderId="2" fillId="4" fontId="6" numFmtId="3" xfId="0" applyAlignment="1" applyBorder="1" applyFont="1" applyNumberFormat="1">
      <alignment horizontal="center" readingOrder="0" vertical="bottom"/>
    </xf>
    <xf borderId="2" fillId="4" fontId="6" numFmtId="0" xfId="0" applyAlignment="1" applyBorder="1" applyFont="1">
      <alignment horizontal="center" vertical="bottom"/>
    </xf>
    <xf borderId="2" fillId="4" fontId="6" numFmtId="169" xfId="0" applyAlignment="1" applyBorder="1" applyFont="1" applyNumberFormat="1">
      <alignment horizontal="center" vertical="bottom"/>
    </xf>
    <xf borderId="2" fillId="4" fontId="6" numFmtId="0" xfId="0" applyAlignment="1" applyBorder="1" applyFont="1">
      <alignment horizontal="center" readingOrder="0" vertical="bottom"/>
    </xf>
    <xf borderId="2" fillId="4" fontId="6" numFmtId="0" xfId="0" applyAlignment="1" applyBorder="1" applyFont="1">
      <alignment horizontal="center" shrinkToFit="0" vertical="bottom" wrapText="1"/>
    </xf>
    <xf borderId="1" fillId="4" fontId="6" numFmtId="167" xfId="0" applyAlignment="1" applyBorder="1" applyFont="1" applyNumberFormat="1">
      <alignment horizontal="center" readingOrder="0" vertical="bottom"/>
    </xf>
    <xf borderId="1" fillId="4" fontId="6" numFmtId="11" xfId="0" applyAlignment="1" applyBorder="1" applyFont="1" applyNumberForma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/>
    </xf>
    <xf borderId="1" fillId="4" fontId="6" numFmtId="167" xfId="0" applyAlignment="1" applyBorder="1" applyFont="1" applyNumberFormat="1">
      <alignment horizontal="center" vertical="bottom"/>
    </xf>
    <xf borderId="1" fillId="4" fontId="2" numFmtId="167" xfId="0" applyAlignment="1" applyBorder="1" applyFont="1" applyNumberFormat="1">
      <alignment horizontal="center" readingOrder="0"/>
    </xf>
    <xf borderId="1" fillId="0" fontId="2" numFmtId="172" xfId="0" applyAlignment="1" applyBorder="1" applyFont="1" applyNumberFormat="1">
      <alignment horizontal="center"/>
    </xf>
    <xf borderId="1" fillId="4" fontId="6" numFmtId="164" xfId="0" applyAlignment="1" applyBorder="1" applyFont="1" applyNumberFormat="1">
      <alignment horizontal="center" vertical="bottom"/>
    </xf>
    <xf borderId="2" fillId="0" fontId="6" numFmtId="3" xfId="0" applyAlignment="1" applyBorder="1" applyFont="1" applyNumberFormat="1">
      <alignment horizontal="center" readingOrder="0" vertical="bottom"/>
    </xf>
    <xf borderId="2" fillId="4" fontId="6" numFmtId="0" xfId="0" applyAlignment="1" applyBorder="1" applyFont="1">
      <alignment horizontal="center" vertical="bottom"/>
    </xf>
    <xf borderId="2" fillId="0" fontId="6" numFmtId="169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4" fontId="6" numFmtId="164" xfId="0" applyAlignment="1" applyBorder="1" applyFont="1" applyNumberFormat="1">
      <alignment horizontal="center" shrinkToFit="0" vertical="bottom" wrapText="1"/>
    </xf>
    <xf borderId="1" fillId="4" fontId="6" numFmtId="165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vertical="bottom"/>
    </xf>
    <xf borderId="2" fillId="0" fontId="6" numFmtId="167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center" readingOrder="0" vertical="bottom"/>
    </xf>
    <xf borderId="1" fillId="4" fontId="2" numFmtId="3" xfId="0" applyAlignment="1" applyBorder="1" applyFont="1" applyNumberFormat="1">
      <alignment horizontal="center" readingOrder="0" vertical="bottom"/>
    </xf>
    <xf borderId="2" fillId="4" fontId="2" numFmtId="169" xfId="0" applyAlignment="1" applyBorder="1" applyFont="1" applyNumberFormat="1">
      <alignment horizontal="center" readingOrder="0"/>
    </xf>
    <xf borderId="2" fillId="4" fontId="2" numFmtId="0" xfId="0" applyAlignment="1" applyBorder="1" applyFont="1">
      <alignment horizontal="center" shrinkToFit="0" vertical="bottom" wrapText="1"/>
    </xf>
    <xf borderId="1" fillId="0" fontId="2" numFmtId="172" xfId="0" applyAlignment="1" applyBorder="1" applyFont="1" applyNumberFormat="1">
      <alignment horizontal="center" readingOrder="0" vertical="bottom"/>
    </xf>
    <xf borderId="3" fillId="0" fontId="2" numFmtId="169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readingOrder="0"/>
    </xf>
    <xf borderId="1" fillId="4" fontId="6" numFmtId="165" xfId="0" applyAlignment="1" applyBorder="1" applyFont="1" applyNumberFormat="1">
      <alignment horizontal="center" readingOrder="0" vertical="bottom"/>
    </xf>
    <xf borderId="1" fillId="4" fontId="2" numFmtId="164" xfId="0" applyAlignment="1" applyBorder="1" applyFont="1" applyNumberFormat="1">
      <alignment horizontal="center" readingOrder="0" shrinkToFit="0" wrapText="1"/>
    </xf>
    <xf borderId="1" fillId="0" fontId="6" numFmtId="169" xfId="0" applyAlignment="1" applyBorder="1" applyFont="1" applyNumberFormat="1">
      <alignment horizontal="center" readingOrder="0" vertical="bottom"/>
    </xf>
    <xf borderId="4" fillId="0" fontId="2" numFmtId="3" xfId="0" applyAlignment="1" applyBorder="1" applyFont="1" applyNumberFormat="1">
      <alignment horizontal="center" readingOrder="0"/>
    </xf>
    <xf borderId="4" fillId="4" fontId="2" numFmtId="169" xfId="0" applyAlignment="1" applyBorder="1" applyFont="1" applyNumberFormat="1">
      <alignment horizontal="center" shrinkToFit="0" wrapText="1"/>
    </xf>
    <xf borderId="4" fillId="4" fontId="2" numFmtId="164" xfId="0" applyAlignment="1" applyBorder="1" applyFont="1" applyNumberFormat="1">
      <alignment horizontal="center" shrinkToFit="0" wrapText="1"/>
    </xf>
    <xf borderId="1" fillId="6" fontId="2" numFmtId="0" xfId="0" applyAlignment="1" applyBorder="1" applyFill="1" applyFont="1">
      <alignment horizontal="center"/>
    </xf>
    <xf borderId="3" fillId="4" fontId="2" numFmtId="0" xfId="0" applyAlignment="1" applyBorder="1" applyFont="1">
      <alignment horizontal="center"/>
    </xf>
    <xf borderId="4" fillId="4" fontId="2" numFmtId="3" xfId="0" applyAlignment="1" applyBorder="1" applyFont="1" applyNumberFormat="1">
      <alignment horizontal="center" readingOrder="0"/>
    </xf>
    <xf borderId="4" fillId="4" fontId="2" numFmtId="0" xfId="0" applyAlignment="1" applyBorder="1" applyFont="1">
      <alignment horizontal="center"/>
    </xf>
    <xf borderId="4" fillId="4" fontId="2" numFmtId="167" xfId="0" applyAlignment="1" applyBorder="1" applyFont="1" applyNumberFormat="1">
      <alignment horizontal="center"/>
    </xf>
    <xf borderId="4" fillId="4" fontId="2" numFmtId="0" xfId="0" applyAlignment="1" applyBorder="1" applyFont="1">
      <alignment horizontal="center" readingOrder="0"/>
    </xf>
    <xf borderId="4" fillId="0" fontId="2" numFmtId="167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4" fillId="4" fontId="2" numFmtId="0" xfId="0" applyAlignment="1" applyBorder="1" applyFont="1">
      <alignment horizontal="center" shrinkToFit="0" vertical="bottom" wrapText="1"/>
    </xf>
    <xf borderId="3" fillId="4" fontId="2" numFmtId="0" xfId="0" applyAlignment="1" applyBorder="1" applyFont="1">
      <alignment horizontal="center" readingOrder="0"/>
    </xf>
    <xf borderId="3" fillId="4" fontId="2" numFmtId="167" xfId="0" applyAlignment="1" applyBorder="1" applyFont="1" applyNumberFormat="1">
      <alignment horizontal="center"/>
    </xf>
    <xf borderId="3" fillId="4" fontId="2" numFmtId="41" xfId="0" applyAlignment="1" applyBorder="1" applyFont="1" applyNumberFormat="1">
      <alignment horizontal="center" readingOrder="0" shrinkToFit="0" wrapText="1"/>
    </xf>
    <xf borderId="3" fillId="4" fontId="2" numFmtId="169" xfId="0" applyAlignment="1" applyBorder="1" applyFont="1" applyNumberFormat="1">
      <alignment horizontal="center" shrinkToFit="0" wrapText="1"/>
    </xf>
    <xf borderId="3" fillId="4" fontId="2" numFmtId="167" xfId="0" applyAlignment="1" applyBorder="1" applyFont="1" applyNumberFormat="1">
      <alignment horizontal="center" readingOrder="0"/>
    </xf>
    <xf borderId="3" fillId="4" fontId="2" numFmtId="167" xfId="0" applyAlignment="1" applyBorder="1" applyFont="1" applyNumberFormat="1">
      <alignment horizontal="center" readingOrder="0" shrinkToFit="0" wrapText="1"/>
    </xf>
    <xf borderId="3" fillId="0" fontId="2" numFmtId="0" xfId="0" applyAlignment="1" applyBorder="1" applyFont="1">
      <alignment horizontal="center" readingOrder="0"/>
    </xf>
    <xf borderId="3" fillId="0" fontId="2" numFmtId="3" xfId="0" applyAlignment="1" applyBorder="1" applyFont="1" applyNumberFormat="1">
      <alignment horizontal="center" readingOrder="0"/>
    </xf>
    <xf borderId="3" fillId="4" fontId="2" numFmtId="169" xfId="0" applyAlignment="1" applyBorder="1" applyFont="1" applyNumberFormat="1">
      <alignment horizontal="center"/>
    </xf>
    <xf borderId="1" fillId="4" fontId="5" numFmtId="0" xfId="0" applyAlignment="1" applyBorder="1" applyFont="1">
      <alignment horizontal="center"/>
    </xf>
    <xf borderId="1" fillId="4" fontId="9" numFmtId="0" xfId="0" applyAlignment="1" applyBorder="1" applyFont="1">
      <alignment horizontal="center" readingOrder="0" shrinkToFit="0" vertical="bottom" wrapText="0"/>
    </xf>
    <xf borderId="1" fillId="4" fontId="9" numFmtId="3" xfId="0" applyAlignment="1" applyBorder="1" applyFont="1" applyNumberFormat="1">
      <alignment horizontal="center" readingOrder="0" shrinkToFit="0" vertical="bottom" wrapText="0"/>
    </xf>
    <xf borderId="2" fillId="4" fontId="6" numFmtId="166" xfId="0" applyAlignment="1" applyBorder="1" applyFont="1" applyNumberFormat="1">
      <alignment horizontal="center" readingOrder="0" shrinkToFit="0" vertical="bottom" wrapText="1"/>
    </xf>
    <xf borderId="2" fillId="4" fontId="6" numFmtId="166" xfId="0" applyAlignment="1" applyBorder="1" applyFont="1" applyNumberFormat="1">
      <alignment horizontal="center" shrinkToFit="0" vertical="bottom" wrapText="1"/>
    </xf>
    <xf borderId="3" fillId="4" fontId="2" numFmtId="3" xfId="0" applyAlignment="1" applyBorder="1" applyFont="1" applyNumberFormat="1">
      <alignment horizontal="center" readingOrder="0"/>
    </xf>
    <xf borderId="3" fillId="4" fontId="2" numFmtId="167" xfId="0" applyAlignment="1" applyBorder="1" applyFont="1" applyNumberFormat="1">
      <alignment horizontal="center" shrinkToFit="0" wrapText="1"/>
    </xf>
    <xf borderId="3" fillId="0" fontId="2" numFmtId="172" xfId="0" applyAlignment="1" applyBorder="1" applyFont="1" applyNumberFormat="1">
      <alignment horizontal="center"/>
    </xf>
    <xf borderId="3" fillId="4" fontId="2" numFmtId="164" xfId="0" applyAlignment="1" applyBorder="1" applyFont="1" applyNumberFormat="1">
      <alignment horizontal="center" shrinkToFit="0" wrapText="1"/>
    </xf>
    <xf borderId="3" fillId="4" fontId="6" numFmtId="3" xfId="0" applyAlignment="1" applyBorder="1" applyFont="1" applyNumberFormat="1">
      <alignment horizontal="center" readingOrder="0" vertical="bottom"/>
    </xf>
    <xf borderId="4" fillId="4" fontId="6" numFmtId="3" xfId="0" applyAlignment="1" applyBorder="1" applyFont="1" applyNumberFormat="1">
      <alignment horizontal="center" readingOrder="0" vertical="bottom"/>
    </xf>
    <xf borderId="0" fillId="0" fontId="8" numFmtId="164" xfId="0" applyFont="1" applyNumberFormat="1"/>
    <xf borderId="0" fillId="0" fontId="8" numFmtId="164" xfId="0" applyFont="1" applyNumberFormat="1"/>
    <xf borderId="1" fillId="2" fontId="10" numFmtId="0" xfId="0" applyAlignment="1" applyBorder="1" applyFont="1">
      <alignment horizontal="center" shrinkToFit="0" vertical="center" wrapText="1"/>
    </xf>
    <xf borderId="2" fillId="2" fontId="10" numFmtId="41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2" fontId="10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2" fillId="4" fontId="6" numFmtId="41" xfId="0" applyAlignment="1" applyBorder="1" applyFont="1" applyNumberFormat="1">
      <alignment horizontal="center" readingOrder="0" shrinkToFit="0" wrapText="1"/>
    </xf>
    <xf borderId="2" fillId="4" fontId="6" numFmtId="0" xfId="0" applyAlignment="1" applyBorder="1" applyFont="1">
      <alignment horizontal="center" shrinkToFit="0" wrapText="1"/>
    </xf>
    <xf borderId="1" fillId="4" fontId="6" numFmtId="164" xfId="0" applyAlignment="1" applyBorder="1" applyFont="1" applyNumberFormat="1">
      <alignment horizontal="center" shrinkToFit="0" wrapText="1"/>
    </xf>
    <xf borderId="2" fillId="4" fontId="6" numFmtId="0" xfId="0" applyAlignment="1" applyBorder="1" applyFont="1">
      <alignment horizontal="center" readingOrder="0" shrinkToFit="0" wrapText="1"/>
    </xf>
    <xf borderId="3" fillId="4" fontId="2" numFmtId="165" xfId="0" applyAlignment="1" applyBorder="1" applyFont="1" applyNumberFormat="1">
      <alignment horizontal="center" shrinkToFit="0" wrapText="1"/>
    </xf>
    <xf borderId="3" fillId="4" fontId="6" numFmtId="0" xfId="0" applyAlignment="1" applyBorder="1" applyFont="1">
      <alignment horizontal="center" shrinkToFit="0" wrapText="1"/>
    </xf>
    <xf borderId="4" fillId="4" fontId="6" numFmtId="41" xfId="0" applyAlignment="1" applyBorder="1" applyFont="1" applyNumberFormat="1">
      <alignment horizontal="center" readingOrder="0" shrinkToFit="0" wrapText="1"/>
    </xf>
    <xf borderId="4" fillId="4" fontId="6" numFmtId="0" xfId="0" applyAlignment="1" applyBorder="1" applyFont="1">
      <alignment horizontal="center" shrinkToFit="0" wrapText="1"/>
    </xf>
    <xf borderId="3" fillId="4" fontId="6" numFmtId="164" xfId="0" applyAlignment="1" applyBorder="1" applyFont="1" applyNumberFormat="1">
      <alignment horizontal="center" shrinkToFit="0" wrapText="1"/>
    </xf>
    <xf borderId="4" fillId="4" fontId="6" numFmtId="0" xfId="0" applyAlignment="1" applyBorder="1" applyFont="1">
      <alignment horizontal="center" readingOrder="0" shrinkToFit="0" wrapText="1"/>
    </xf>
    <xf borderId="3" fillId="4" fontId="6" numFmtId="165" xfId="0" applyAlignment="1" applyBorder="1" applyFont="1" applyNumberFormat="1">
      <alignment horizontal="center" vertical="bottom"/>
    </xf>
    <xf borderId="4" fillId="4" fontId="2" numFmtId="0" xfId="0" applyAlignment="1" applyBorder="1" applyFont="1">
      <alignment horizontal="center" readingOrder="0" vertical="bottom"/>
    </xf>
    <xf borderId="3" fillId="4" fontId="2" numFmtId="167" xfId="0" applyAlignment="1" applyBorder="1" applyFont="1" applyNumberFormat="1">
      <alignment horizontal="center" readingOrder="0" vertical="bottom"/>
    </xf>
    <xf borderId="3" fillId="0" fontId="2" numFmtId="167" xfId="0" applyAlignment="1" applyBorder="1" applyFont="1" applyNumberFormat="1">
      <alignment horizontal="center" readingOrder="0" vertical="bottom"/>
    </xf>
    <xf borderId="4" fillId="4" fontId="2" numFmtId="165" xfId="0" applyAlignment="1" applyBorder="1" applyFont="1" applyNumberFormat="1">
      <alignment horizontal="center" shrinkToFit="0" wrapText="1"/>
    </xf>
    <xf borderId="4" fillId="0" fontId="2" numFmtId="165" xfId="0" applyAlignment="1" applyBorder="1" applyFont="1" applyNumberFormat="1">
      <alignment horizontal="center"/>
    </xf>
    <xf borderId="3" fillId="4" fontId="2" numFmtId="0" xfId="0" applyAlignment="1" applyBorder="1" applyFont="1">
      <alignment horizontal="center" vertical="bottom"/>
    </xf>
    <xf borderId="4" fillId="4" fontId="2" numFmtId="167" xfId="0" applyAlignment="1" applyBorder="1" applyFont="1" applyNumberFormat="1">
      <alignment horizontal="center" vertical="bottom"/>
    </xf>
    <xf borderId="4" fillId="4" fontId="2" numFmtId="0" xfId="0" applyAlignment="1" applyBorder="1" applyFont="1">
      <alignment horizontal="center" vertical="bottom"/>
    </xf>
    <xf borderId="4" fillId="0" fontId="2" numFmtId="167" xfId="0" applyAlignment="1" applyBorder="1" applyFont="1" applyNumberFormat="1">
      <alignment horizontal="center" vertical="bottom"/>
    </xf>
    <xf borderId="4" fillId="4" fontId="6" numFmtId="166" xfId="0" applyAlignment="1" applyBorder="1" applyFont="1" applyNumberFormat="1">
      <alignment horizontal="center" shrinkToFit="0" vertical="bottom" wrapText="1"/>
    </xf>
    <xf borderId="1" fillId="4" fontId="2" numFmtId="167" xfId="0" applyAlignment="1" applyBorder="1" applyFont="1" applyNumberFormat="1">
      <alignment horizontal="center" readingOrder="0" vertical="bottom"/>
    </xf>
    <xf borderId="1" fillId="4" fontId="6" numFmtId="41" xfId="0" applyAlignment="1" applyBorder="1" applyFont="1" applyNumberFormat="1">
      <alignment horizontal="center" readingOrder="0" shrinkToFit="0" wrapText="1"/>
    </xf>
    <xf borderId="2" fillId="4" fontId="7" numFmtId="165" xfId="0" applyAlignment="1" applyBorder="1" applyFont="1" applyNumberFormat="1">
      <alignment horizontal="center" vertical="bottom"/>
    </xf>
    <xf borderId="4" fillId="4" fontId="6" numFmtId="165" xfId="0" applyAlignment="1" applyBorder="1" applyFont="1" applyNumberFormat="1">
      <alignment horizontal="center" readingOrder="0" vertical="bottom"/>
    </xf>
    <xf borderId="3" fillId="4" fontId="2" numFmtId="0" xfId="0" applyAlignment="1" applyBorder="1" applyFont="1">
      <alignment horizontal="center" readingOrder="0" vertical="bottom"/>
    </xf>
    <xf borderId="3" fillId="0" fontId="2" numFmtId="3" xfId="0" applyAlignment="1" applyBorder="1" applyFont="1" applyNumberFormat="1">
      <alignment horizontal="center" readingOrder="0" vertical="bottom"/>
    </xf>
    <xf borderId="4" fillId="4" fontId="2" numFmtId="167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1" fillId="4" fontId="2" numFmtId="165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4" fillId="4" fontId="6" numFmtId="164" xfId="0" applyAlignment="1" applyBorder="1" applyFont="1" applyNumberFormat="1">
      <alignment horizontal="center" shrinkToFit="0" wrapText="1"/>
    </xf>
    <xf borderId="4" fillId="4" fontId="2" numFmtId="167" xfId="0" applyAlignment="1" applyBorder="1" applyFont="1" applyNumberFormat="1">
      <alignment horizontal="center" readingOrder="0"/>
    </xf>
    <xf borderId="1" fillId="4" fontId="6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vertical="bottom"/>
    </xf>
    <xf borderId="4" fillId="0" fontId="6" numFmtId="3" xfId="0" applyAlignment="1" applyBorder="1" applyFont="1" applyNumberFormat="1">
      <alignment horizontal="center" readingOrder="0" vertical="bottom"/>
    </xf>
    <xf borderId="4" fillId="4" fontId="6" numFmtId="0" xfId="0" applyAlignment="1" applyBorder="1" applyFont="1">
      <alignment horizontal="center" vertical="bottom"/>
    </xf>
    <xf borderId="4" fillId="0" fontId="6" numFmtId="167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4" fontId="2" numFmtId="167" xfId="0" applyAlignment="1" applyBorder="1" applyFont="1" applyNumberFormat="1">
      <alignment horizontal="center" readingOrder="0" shrinkToFit="0" wrapText="1"/>
    </xf>
    <xf borderId="1" fillId="4" fontId="6" numFmtId="16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171" xfId="0" applyAlignment="1" applyBorder="1" applyFont="1" applyNumberFormat="1">
      <alignment horizontal="center"/>
    </xf>
    <xf borderId="4" fillId="4" fontId="5" numFmtId="167" xfId="0" applyAlignment="1" applyBorder="1" applyFont="1" applyNumberFormat="1">
      <alignment horizontal="center" shrinkToFit="0" wrapText="1"/>
    </xf>
    <xf borderId="4" fillId="4" fontId="6" numFmtId="166" xfId="0" applyAlignment="1" applyBorder="1" applyFont="1" applyNumberFormat="1">
      <alignment horizontal="center" readingOrder="0" shrinkToFit="0" vertical="bottom" wrapText="1"/>
    </xf>
    <xf borderId="4" fillId="0" fontId="2" numFmtId="167" xfId="0" applyAlignment="1" applyBorder="1" applyFont="1" applyNumberFormat="1">
      <alignment horizontal="center" readingOrder="0" vertical="bottom"/>
    </xf>
    <xf borderId="4" fillId="4" fontId="2" numFmtId="3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4" fontId="2" numFmtId="171" xfId="0" applyAlignment="1" applyBorder="1" applyFont="1" applyNumberFormat="1">
      <alignment horizontal="center" shrinkToFit="0" wrapText="1"/>
    </xf>
    <xf borderId="2" fillId="4" fontId="6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vertical="bottom"/>
    </xf>
    <xf borderId="1" fillId="4" fontId="11" numFmtId="167" xfId="0" applyAlignment="1" applyBorder="1" applyFont="1" applyNumberFormat="1">
      <alignment horizontal="center" shrinkToFit="0" vertical="bottom" wrapText="1"/>
    </xf>
    <xf borderId="1" fillId="4" fontId="6" numFmtId="170" xfId="0" applyAlignment="1" applyBorder="1" applyFont="1" applyNumberFormat="1">
      <alignment horizontal="center" shrinkToFit="0" vertical="bottom" wrapText="1"/>
    </xf>
    <xf borderId="1" fillId="4" fontId="5" numFmtId="167" xfId="0" applyAlignment="1" applyBorder="1" applyFont="1" applyNumberFormat="1">
      <alignment horizontal="center" shrinkToFit="0" wrapText="1"/>
    </xf>
    <xf borderId="3" fillId="4" fontId="2" numFmtId="3" xfId="0" applyAlignment="1" applyBorder="1" applyFont="1" applyNumberFormat="1">
      <alignment horizontal="center" readingOrder="0" vertical="bottom"/>
    </xf>
    <xf borderId="4" fillId="4" fontId="6" numFmtId="167" xfId="0" applyAlignment="1" applyBorder="1" applyFont="1" applyNumberFormat="1">
      <alignment horizontal="center" shrinkToFit="0" vertical="bottom" wrapText="1"/>
    </xf>
    <xf borderId="4" fillId="0" fontId="5" numFmtId="167" xfId="0" applyAlignment="1" applyBorder="1" applyFont="1" applyNumberFormat="1">
      <alignment horizontal="center" vertical="bottom"/>
    </xf>
    <xf borderId="3" fillId="4" fontId="5" numFmtId="0" xfId="0" applyAlignment="1" applyBorder="1" applyFont="1">
      <alignment horizontal="center" readingOrder="0" shrinkToFit="0" wrapText="1"/>
    </xf>
    <xf borderId="4" fillId="4" fontId="11" numFmtId="3" xfId="0" applyAlignment="1" applyBorder="1" applyFont="1" applyNumberFormat="1">
      <alignment horizontal="center" readingOrder="0" vertical="bottom"/>
    </xf>
    <xf borderId="4" fillId="4" fontId="6" numFmtId="0" xfId="0" applyAlignment="1" applyBorder="1" applyFont="1">
      <alignment horizontal="center" shrinkToFit="0" vertical="bottom" wrapText="1"/>
    </xf>
    <xf borderId="4" fillId="0" fontId="2" numFmtId="167" xfId="0" applyAlignment="1" applyBorder="1" applyFont="1" applyNumberFormat="1">
      <alignment horizontal="center" readingOrder="0"/>
    </xf>
    <xf borderId="1" fillId="4" fontId="2" numFmtId="173" xfId="0" applyAlignment="1" applyBorder="1" applyFont="1" applyNumberFormat="1">
      <alignment horizontal="center" readingOrder="0"/>
    </xf>
    <xf borderId="0" fillId="0" fontId="12" numFmtId="0" xfId="0" applyFont="1"/>
    <xf borderId="0" fillId="0" fontId="8" numFmtId="166" xfId="0" applyFont="1" applyNumberFormat="1"/>
    <xf borderId="3" fillId="0" fontId="2" numFmtId="0" xfId="0" applyAlignment="1" applyBorder="1" applyFon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4" fillId="4" fontId="2" numFmtId="166" xfId="0" applyAlignment="1" applyBorder="1" applyFont="1" applyNumberFormat="1">
      <alignment horizontal="center" shrinkToFit="0" vertical="bottom" wrapText="1"/>
    </xf>
    <xf borderId="4" fillId="0" fontId="6" numFmtId="164" xfId="0" applyAlignment="1" applyBorder="1" applyFont="1" applyNumberFormat="1">
      <alignment horizontal="center" vertical="bottom"/>
    </xf>
    <xf borderId="2" fillId="4" fontId="2" numFmtId="166" xfId="0" applyAlignment="1" applyBorder="1" applyFont="1" applyNumberFormat="1">
      <alignment horizontal="center" shrinkToFit="0" vertical="bottom" wrapText="1"/>
    </xf>
    <xf borderId="3" fillId="0" fontId="6" numFmtId="0" xfId="0" applyAlignment="1" applyBorder="1" applyFont="1">
      <alignment horizontal="center" readingOrder="0" vertical="bottom"/>
    </xf>
    <xf borderId="4" fillId="0" fontId="6" numFmtId="165" xfId="0" applyAlignment="1" applyBorder="1" applyFont="1" applyNumberFormat="1">
      <alignment horizontal="center" readingOrder="0" vertical="bottom"/>
    </xf>
    <xf borderId="4" fillId="4" fontId="2" numFmtId="170" xfId="0" applyAlignment="1" applyBorder="1" applyFont="1" applyNumberFormat="1">
      <alignment horizontal="center" readingOrder="0" shrinkToFit="0" wrapText="1"/>
    </xf>
    <xf borderId="2" fillId="4" fontId="2" numFmtId="170" xfId="0" applyAlignment="1" applyBorder="1" applyFont="1" applyNumberFormat="1">
      <alignment horizontal="center" readingOrder="0" shrinkToFit="0" wrapText="1"/>
    </xf>
    <xf borderId="4" fillId="0" fontId="2" numFmtId="164" xfId="0" applyAlignment="1" applyBorder="1" applyFont="1" applyNumberFormat="1">
      <alignment horizontal="center" readingOrder="0" vertical="bottom"/>
    </xf>
    <xf borderId="2" fillId="0" fontId="2" numFmtId="165" xfId="0" applyAlignment="1" applyBorder="1" applyFont="1" applyNumberFormat="1">
      <alignment horizontal="center" vertical="bottom"/>
    </xf>
    <xf borderId="3" fillId="0" fontId="2" numFmtId="165" xfId="0" applyAlignment="1" applyBorder="1" applyFont="1" applyNumberFormat="1">
      <alignment horizontal="center" vertical="bottom"/>
    </xf>
    <xf borderId="3" fillId="0" fontId="2" numFmtId="164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2" numFmtId="171" xfId="0" applyAlignment="1" applyBorder="1" applyFont="1" applyNumberFormat="1">
      <alignment horizontal="center" vertical="bottom"/>
    </xf>
    <xf borderId="3" fillId="4" fontId="2" numFmtId="165" xfId="0" applyAlignment="1" applyBorder="1" applyFont="1" applyNumberFormat="1">
      <alignment horizontal="center" readingOrder="0"/>
    </xf>
    <xf borderId="3" fillId="0" fontId="2" numFmtId="169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4" fontId="2" numFmtId="170" xfId="0" applyAlignment="1" applyBorder="1" applyFont="1" applyNumberFormat="1">
      <alignment horizontal="center" readingOrder="0" vertical="bottom"/>
    </xf>
    <xf borderId="4" fillId="4" fontId="6" numFmtId="166" xfId="0" applyAlignment="1" applyBorder="1" applyFont="1" applyNumberFormat="1">
      <alignment horizontal="center" shrinkToFit="0" vertical="bottom" wrapText="1"/>
    </xf>
    <xf borderId="4" fillId="4" fontId="6" numFmtId="167" xfId="0" applyAlignment="1" applyBorder="1" applyFont="1" applyNumberFormat="1">
      <alignment horizontal="center" readingOrder="0" vertical="bottom"/>
    </xf>
    <xf borderId="2" fillId="4" fontId="2" numFmtId="0" xfId="0" applyAlignment="1" applyBorder="1" applyFont="1">
      <alignment horizontal="center" readingOrder="0"/>
    </xf>
    <xf borderId="3" fillId="4" fontId="2" numFmtId="165" xfId="0" applyAlignment="1" applyBorder="1" applyFont="1" applyNumberFormat="1">
      <alignment horizontal="center"/>
    </xf>
    <xf borderId="4" fillId="4" fontId="6" numFmtId="170" xfId="0" applyAlignment="1" applyBorder="1" applyFont="1" applyNumberFormat="1">
      <alignment horizontal="center" readingOrder="0" vertical="bottom"/>
    </xf>
    <xf borderId="4" fillId="0" fontId="2" numFmtId="172" xfId="0" applyAlignment="1" applyBorder="1" applyFont="1" applyNumberFormat="1">
      <alignment horizontal="center" readingOrder="0"/>
    </xf>
    <xf borderId="4" fillId="4" fontId="2" numFmtId="169" xfId="0" applyAlignment="1" applyBorder="1" applyFont="1" applyNumberFormat="1">
      <alignment horizontal="center" readingOrder="0"/>
    </xf>
    <xf borderId="4" fillId="4" fontId="2" numFmtId="164" xfId="0" applyAlignment="1" applyBorder="1" applyFont="1" applyNumberFormat="1">
      <alignment horizontal="center" readingOrder="0" shrinkToFit="0" wrapText="1"/>
    </xf>
    <xf borderId="3" fillId="4" fontId="2" numFmtId="0" xfId="0" applyAlignment="1" applyBorder="1" applyFont="1">
      <alignment horizontal="center" shrinkToFit="0" vertical="bottom" wrapText="1"/>
    </xf>
    <xf borderId="4" fillId="4" fontId="2" numFmtId="41" xfId="0" applyAlignment="1" applyBorder="1" applyFont="1" applyNumberFormat="1">
      <alignment horizontal="center" readingOrder="0" shrinkToFit="0" vertical="bottom" wrapText="1"/>
    </xf>
    <xf borderId="4" fillId="4" fontId="2" numFmtId="164" xfId="0" applyAlignment="1" applyBorder="1" applyFont="1" applyNumberFormat="1">
      <alignment horizontal="center" shrinkToFit="0" vertical="bottom" wrapText="1"/>
    </xf>
    <xf borderId="4" fillId="4" fontId="2" numFmtId="0" xfId="0" applyAlignment="1" applyBorder="1" applyFont="1">
      <alignment horizontal="center" readingOrder="0" shrinkToFit="0" vertical="bottom" wrapText="1"/>
    </xf>
    <xf borderId="3" fillId="0" fontId="2" numFmtId="169" xfId="0" applyAlignment="1" applyBorder="1" applyFont="1" applyNumberFormat="1">
      <alignment horizontal="center" vertical="bottom"/>
    </xf>
    <xf borderId="4" fillId="0" fontId="2" numFmtId="169" xfId="0" applyAlignment="1" applyBorder="1" applyFont="1" applyNumberFormat="1">
      <alignment horizontal="center" vertical="bottom"/>
    </xf>
    <xf borderId="4" fillId="4" fontId="6" numFmtId="0" xfId="0" applyAlignment="1" applyBorder="1" applyFont="1">
      <alignment horizontal="center" readingOrder="0" shrinkToFit="0" vertical="bottom" wrapText="1"/>
    </xf>
    <xf borderId="3" fillId="0" fontId="2" numFmtId="167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readingOrder="0" shrinkToFit="0" vertical="bottom" wrapText="1"/>
    </xf>
    <xf borderId="2" fillId="4" fontId="2" numFmtId="166" xfId="0" applyAlignment="1" applyBorder="1" applyFont="1" applyNumberFormat="1">
      <alignment horizontal="center" readingOrder="0" shrinkToFit="0" vertical="bottom" wrapText="1"/>
    </xf>
    <xf borderId="4" fillId="4" fontId="2" numFmtId="165" xfId="0" applyAlignment="1" applyBorder="1" applyFont="1" applyNumberFormat="1">
      <alignment horizontal="center" vertical="bottom"/>
    </xf>
    <xf borderId="4" fillId="0" fontId="2" numFmtId="171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3" fillId="4" fontId="6" numFmtId="0" xfId="0" applyAlignment="1" applyBorder="1" applyFont="1">
      <alignment horizontal="center" vertical="bottom"/>
    </xf>
    <xf borderId="4" fillId="4" fontId="6" numFmtId="3" xfId="0" applyAlignment="1" applyBorder="1" applyFont="1" applyNumberFormat="1">
      <alignment horizontal="center" vertical="bottom"/>
    </xf>
    <xf borderId="1" fillId="4" fontId="1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3" fillId="4" fontId="6" numFmtId="0" xfId="0" applyAlignment="1" applyBorder="1" applyFont="1">
      <alignment horizontal="center" vertical="bottom"/>
    </xf>
    <xf borderId="4" fillId="4" fontId="6" numFmtId="165" xfId="0" applyAlignment="1" applyBorder="1" applyFont="1" applyNumberFormat="1">
      <alignment horizontal="center" vertical="bottom"/>
    </xf>
    <xf borderId="4" fillId="4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2" numFmtId="173" xfId="0" applyAlignment="1" applyBorder="1" applyFont="1" applyNumberFormat="1">
      <alignment horizontal="center" readingOrder="0" shrinkToFit="0" wrapText="1"/>
    </xf>
    <xf borderId="1" fillId="0" fontId="2" numFmtId="173" xfId="0" applyAlignment="1" applyBorder="1" applyFont="1" applyNumberFormat="1">
      <alignment horizontal="center" readingOrder="0" vertical="bottom"/>
    </xf>
    <xf borderId="4" fillId="4" fontId="11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horizontal="center" shrinkToFit="0" vertical="bottom" wrapText="1"/>
    </xf>
    <xf borderId="1" fillId="4" fontId="11" numFmtId="0" xfId="0" applyAlignment="1" applyBorder="1" applyFont="1">
      <alignment horizontal="center" vertical="bottom"/>
    </xf>
    <xf borderId="1" fillId="0" fontId="2" numFmtId="170" xfId="0" applyAlignment="1" applyBorder="1" applyFont="1" applyNumberFormat="1">
      <alignment horizontal="center" readingOrder="0" vertical="bottom"/>
    </xf>
    <xf borderId="3" fillId="4" fontId="6" numFmtId="0" xfId="0" applyAlignment="1" applyBorder="1" applyFont="1">
      <alignment horizontal="center" readingOrder="0" shrinkToFit="0" vertical="bottom" wrapText="1"/>
    </xf>
    <xf borderId="1" fillId="4" fontId="11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/>
    </xf>
    <xf borderId="1" fillId="4" fontId="5" numFmtId="0" xfId="0" applyAlignment="1" applyBorder="1" applyFont="1">
      <alignment horizontal="center" shrinkToFit="0" vertical="bottom" wrapText="1"/>
    </xf>
    <xf borderId="0" fillId="5" fontId="8" numFmtId="0" xfId="0" applyAlignment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1" fillId="4" fontId="2" numFmtId="0" xfId="0" applyAlignment="1" applyBorder="1" applyFont="1">
      <alignment horizontal="center" shrinkToFit="0" vertical="bottom" wrapText="1"/>
    </xf>
    <xf borderId="1" fillId="4" fontId="5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horizontal="center" readingOrder="0" vertical="bottom"/>
    </xf>
    <xf borderId="1" fillId="2" fontId="13" numFmtId="0" xfId="0" applyAlignment="1" applyBorder="1" applyFont="1">
      <alignment readingOrder="0"/>
    </xf>
    <xf borderId="1" fillId="2" fontId="13" numFmtId="0" xfId="0" applyBorder="1" applyFont="1"/>
    <xf borderId="1" fillId="7" fontId="1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3.25"/>
    <col customWidth="1" min="3" max="3" width="30.38"/>
    <col customWidth="1" min="4" max="4" width="19.75"/>
    <col customWidth="1" min="5" max="5" width="10.75"/>
    <col customWidth="1" min="6" max="6" width="25.5"/>
    <col customWidth="1" min="7" max="7" width="45.63"/>
    <col customWidth="1" min="8" max="8" width="7.38"/>
    <col customWidth="1" min="9" max="9" width="7.13"/>
    <col customWidth="1" min="10" max="10" width="10.75"/>
    <col customWidth="1" min="11" max="11" width="16.38"/>
    <col customWidth="1" min="12" max="12" width="10.13"/>
    <col customWidth="1" min="13" max="13" width="17.13"/>
    <col customWidth="1" min="14" max="14" width="13.25"/>
    <col customWidth="1" min="15" max="15" width="14.63"/>
    <col customWidth="1" min="16" max="16" width="18.13"/>
    <col customWidth="1" min="17" max="17" width="13.5"/>
    <col customWidth="1" min="18" max="18" width="10.5"/>
    <col customWidth="1" min="19" max="19" width="10.38"/>
    <col customWidth="1" min="20" max="20" width="11.75"/>
    <col customWidth="1" min="21" max="21" width="20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6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hidden="1" customHeight="1">
      <c r="A2" s="7" t="s">
        <v>21</v>
      </c>
      <c r="B2" s="8">
        <v>6902695.0</v>
      </c>
      <c r="C2" s="9" t="s">
        <v>22</v>
      </c>
      <c r="D2" s="10">
        <v>37054.0</v>
      </c>
      <c r="E2" s="7">
        <v>3.136775959E9</v>
      </c>
      <c r="F2" s="11" t="s">
        <v>23</v>
      </c>
      <c r="G2" s="7" t="s">
        <v>24</v>
      </c>
      <c r="H2" s="7">
        <f t="shared" ref="H2:H32" si="1">(YEAR(NOW())-YEAR(D2))</f>
        <v>25</v>
      </c>
      <c r="I2" s="12" t="s">
        <v>25</v>
      </c>
      <c r="J2" s="7" t="s">
        <v>26</v>
      </c>
      <c r="K2" s="7" t="s">
        <v>27</v>
      </c>
      <c r="L2" s="7" t="s">
        <v>28</v>
      </c>
      <c r="M2" s="12" t="s">
        <v>29</v>
      </c>
      <c r="N2" s="12" t="s">
        <v>30</v>
      </c>
      <c r="O2" s="10">
        <v>44589.0</v>
      </c>
      <c r="P2" s="13">
        <f t="shared" ref="P2:P35" si="2">O2+90</f>
        <v>44679</v>
      </c>
      <c r="Q2" s="13">
        <v>45047.0</v>
      </c>
      <c r="R2" s="14" t="s">
        <v>31</v>
      </c>
      <c r="S2" s="15">
        <v>1500000.0</v>
      </c>
      <c r="T2" s="15">
        <v>750000.0</v>
      </c>
      <c r="U2" s="14" t="s">
        <v>31</v>
      </c>
    </row>
    <row r="3" ht="15.75" customHeight="1">
      <c r="A3" s="16" t="s">
        <v>21</v>
      </c>
      <c r="B3" s="11">
        <v>1286413.0</v>
      </c>
      <c r="C3" s="9" t="s">
        <v>32</v>
      </c>
      <c r="D3" s="17">
        <v>36107.0</v>
      </c>
      <c r="E3" s="7">
        <v>3.115932479E9</v>
      </c>
      <c r="F3" s="11" t="s">
        <v>33</v>
      </c>
      <c r="G3" s="11" t="s">
        <v>34</v>
      </c>
      <c r="H3" s="7">
        <f t="shared" si="1"/>
        <v>28</v>
      </c>
      <c r="I3" s="12" t="s">
        <v>25</v>
      </c>
      <c r="J3" s="7" t="s">
        <v>35</v>
      </c>
      <c r="K3" s="11" t="s">
        <v>36</v>
      </c>
      <c r="L3" s="11" t="s">
        <v>37</v>
      </c>
      <c r="M3" s="12" t="s">
        <v>38</v>
      </c>
      <c r="N3" s="12" t="s">
        <v>30</v>
      </c>
      <c r="O3" s="17">
        <v>44013.0</v>
      </c>
      <c r="P3" s="17">
        <f t="shared" si="2"/>
        <v>44103</v>
      </c>
      <c r="Q3" s="7"/>
      <c r="R3" s="12" t="s">
        <v>39</v>
      </c>
      <c r="S3" s="18">
        <v>2450000.0</v>
      </c>
      <c r="T3" s="18">
        <v>1225000.0</v>
      </c>
      <c r="U3" s="11" t="s">
        <v>40</v>
      </c>
    </row>
    <row r="4" ht="15.75" hidden="1" customHeight="1">
      <c r="A4" s="19" t="s">
        <v>21</v>
      </c>
      <c r="B4" s="8">
        <v>6828457.0</v>
      </c>
      <c r="C4" s="9" t="s">
        <v>41</v>
      </c>
      <c r="D4" s="10">
        <v>37108.0</v>
      </c>
      <c r="E4" s="7">
        <v>3.132522695E9</v>
      </c>
      <c r="F4" s="11" t="s">
        <v>42</v>
      </c>
      <c r="G4" s="7" t="s">
        <v>43</v>
      </c>
      <c r="H4" s="7">
        <f t="shared" si="1"/>
        <v>25</v>
      </c>
      <c r="I4" s="12" t="s">
        <v>25</v>
      </c>
      <c r="J4" s="7" t="s">
        <v>35</v>
      </c>
      <c r="K4" s="7" t="s">
        <v>27</v>
      </c>
      <c r="L4" s="7" t="s">
        <v>28</v>
      </c>
      <c r="M4" s="12" t="s">
        <v>38</v>
      </c>
      <c r="N4" s="12" t="s">
        <v>30</v>
      </c>
      <c r="O4" s="10">
        <v>44068.0</v>
      </c>
      <c r="P4" s="13">
        <f t="shared" si="2"/>
        <v>44158</v>
      </c>
      <c r="Q4" s="11" t="s">
        <v>44</v>
      </c>
      <c r="R4" s="14" t="s">
        <v>31</v>
      </c>
      <c r="S4" s="15">
        <v>2300000.0</v>
      </c>
      <c r="T4" s="15">
        <v>1150000.0</v>
      </c>
      <c r="U4" s="14" t="s">
        <v>31</v>
      </c>
    </row>
    <row r="5" ht="15.75" hidden="1" customHeight="1">
      <c r="A5" s="16" t="s">
        <v>21</v>
      </c>
      <c r="B5" s="8">
        <v>3272534.0</v>
      </c>
      <c r="C5" s="9" t="s">
        <v>45</v>
      </c>
      <c r="D5" s="20">
        <v>34464.0</v>
      </c>
      <c r="E5" s="11">
        <v>3.04527647E9</v>
      </c>
      <c r="F5" s="11" t="s">
        <v>46</v>
      </c>
      <c r="G5" s="11" t="s">
        <v>47</v>
      </c>
      <c r="H5" s="7">
        <f t="shared" si="1"/>
        <v>32</v>
      </c>
      <c r="I5" s="12" t="s">
        <v>25</v>
      </c>
      <c r="J5" s="7" t="s">
        <v>35</v>
      </c>
      <c r="K5" s="11" t="s">
        <v>36</v>
      </c>
      <c r="L5" s="7" t="s">
        <v>48</v>
      </c>
      <c r="M5" s="12" t="s">
        <v>49</v>
      </c>
      <c r="N5" s="12" t="s">
        <v>30</v>
      </c>
      <c r="O5" s="21">
        <v>43617.0</v>
      </c>
      <c r="P5" s="21">
        <f t="shared" si="2"/>
        <v>43707</v>
      </c>
      <c r="Q5" s="22">
        <v>45965.0</v>
      </c>
      <c r="R5" s="14" t="s">
        <v>31</v>
      </c>
      <c r="S5" s="18">
        <v>2650000.0</v>
      </c>
      <c r="T5" s="18">
        <v>1325000.0</v>
      </c>
      <c r="U5" s="14" t="s">
        <v>31</v>
      </c>
    </row>
    <row r="6" ht="15.75" hidden="1" customHeight="1">
      <c r="A6" s="7" t="s">
        <v>50</v>
      </c>
      <c r="B6" s="8">
        <v>7.9834197E7</v>
      </c>
      <c r="C6" s="9" t="s">
        <v>51</v>
      </c>
      <c r="D6" s="10">
        <v>28650.0</v>
      </c>
      <c r="E6" s="7" t="s">
        <v>52</v>
      </c>
      <c r="F6" s="11" t="s">
        <v>53</v>
      </c>
      <c r="G6" s="7" t="s">
        <v>54</v>
      </c>
      <c r="H6" s="7">
        <f t="shared" si="1"/>
        <v>48</v>
      </c>
      <c r="I6" s="12" t="s">
        <v>25</v>
      </c>
      <c r="J6" s="7" t="s">
        <v>26</v>
      </c>
      <c r="K6" s="7" t="s">
        <v>27</v>
      </c>
      <c r="L6" s="7" t="s">
        <v>55</v>
      </c>
      <c r="M6" s="12" t="s">
        <v>56</v>
      </c>
      <c r="N6" s="12" t="s">
        <v>30</v>
      </c>
      <c r="O6" s="10">
        <v>44848.0</v>
      </c>
      <c r="P6" s="13">
        <f t="shared" si="2"/>
        <v>44938</v>
      </c>
      <c r="Q6" s="11" t="s">
        <v>57</v>
      </c>
      <c r="R6" s="14" t="s">
        <v>31</v>
      </c>
      <c r="S6" s="15">
        <v>1900000.0</v>
      </c>
      <c r="T6" s="15">
        <v>950000.0</v>
      </c>
      <c r="U6" s="14" t="s">
        <v>31</v>
      </c>
    </row>
    <row r="7" ht="15.75" hidden="1" customHeight="1">
      <c r="A7" s="7" t="s">
        <v>50</v>
      </c>
      <c r="B7" s="8">
        <v>1.23525202E9</v>
      </c>
      <c r="C7" s="9" t="s">
        <v>58</v>
      </c>
      <c r="D7" s="10">
        <v>34992.0</v>
      </c>
      <c r="E7" s="7">
        <v>3.123709958E9</v>
      </c>
      <c r="F7" s="11" t="s">
        <v>59</v>
      </c>
      <c r="G7" s="7" t="s">
        <v>60</v>
      </c>
      <c r="H7" s="7">
        <f t="shared" si="1"/>
        <v>31</v>
      </c>
      <c r="I7" s="12" t="s">
        <v>25</v>
      </c>
      <c r="J7" s="7" t="s">
        <v>26</v>
      </c>
      <c r="K7" s="7" t="s">
        <v>27</v>
      </c>
      <c r="L7" s="7" t="s">
        <v>48</v>
      </c>
      <c r="M7" s="12" t="s">
        <v>61</v>
      </c>
      <c r="N7" s="12" t="s">
        <v>62</v>
      </c>
      <c r="O7" s="10">
        <v>43588.0</v>
      </c>
      <c r="P7" s="13">
        <f t="shared" si="2"/>
        <v>43678</v>
      </c>
      <c r="Q7" s="13">
        <v>45184.0</v>
      </c>
      <c r="R7" s="14" t="s">
        <v>31</v>
      </c>
      <c r="S7" s="15" t="s">
        <v>63</v>
      </c>
      <c r="T7" s="15" t="s">
        <v>63</v>
      </c>
      <c r="U7" s="14" t="s">
        <v>31</v>
      </c>
    </row>
    <row r="8" ht="15.75" hidden="1" customHeight="1">
      <c r="A8" s="16" t="s">
        <v>50</v>
      </c>
      <c r="B8" s="11">
        <v>1.012357473E9</v>
      </c>
      <c r="C8" s="23" t="s">
        <v>64</v>
      </c>
      <c r="D8" s="17">
        <v>32720.0</v>
      </c>
      <c r="E8" s="7">
        <v>3.134206096E9</v>
      </c>
      <c r="F8" s="11" t="s">
        <v>65</v>
      </c>
      <c r="G8" s="7" t="s">
        <v>66</v>
      </c>
      <c r="H8" s="7">
        <f t="shared" si="1"/>
        <v>37</v>
      </c>
      <c r="I8" s="12" t="s">
        <v>67</v>
      </c>
      <c r="J8" s="7" t="s">
        <v>26</v>
      </c>
      <c r="K8" s="7" t="s">
        <v>27</v>
      </c>
      <c r="L8" s="7" t="s">
        <v>48</v>
      </c>
      <c r="M8" s="12" t="s">
        <v>68</v>
      </c>
      <c r="N8" s="12" t="s">
        <v>30</v>
      </c>
      <c r="O8" s="17">
        <v>44880.0</v>
      </c>
      <c r="P8" s="17">
        <f t="shared" si="2"/>
        <v>44970</v>
      </c>
      <c r="Q8" s="11" t="s">
        <v>69</v>
      </c>
      <c r="R8" s="24" t="s">
        <v>31</v>
      </c>
      <c r="S8" s="18">
        <v>1723500.0</v>
      </c>
      <c r="T8" s="18">
        <v>861750.0</v>
      </c>
      <c r="U8" s="24" t="s">
        <v>31</v>
      </c>
    </row>
    <row r="9" ht="15.75" hidden="1" customHeight="1">
      <c r="A9" s="7" t="s">
        <v>21</v>
      </c>
      <c r="B9" s="8">
        <v>6571779.0</v>
      </c>
      <c r="C9" s="9" t="s">
        <v>70</v>
      </c>
      <c r="D9" s="10">
        <v>38225.0</v>
      </c>
      <c r="E9" s="7">
        <v>3.125617816E9</v>
      </c>
      <c r="F9" s="11" t="s">
        <v>71</v>
      </c>
      <c r="G9" s="7" t="s">
        <v>72</v>
      </c>
      <c r="H9" s="7">
        <f t="shared" si="1"/>
        <v>22</v>
      </c>
      <c r="I9" s="12" t="s">
        <v>67</v>
      </c>
      <c r="J9" s="7" t="s">
        <v>35</v>
      </c>
      <c r="K9" s="7" t="s">
        <v>27</v>
      </c>
      <c r="L9" s="7" t="s">
        <v>73</v>
      </c>
      <c r="M9" s="12" t="s">
        <v>61</v>
      </c>
      <c r="N9" s="12" t="s">
        <v>62</v>
      </c>
      <c r="O9" s="10">
        <v>44520.0</v>
      </c>
      <c r="P9" s="13">
        <f t="shared" si="2"/>
        <v>44610</v>
      </c>
      <c r="Q9" s="13">
        <v>45306.0</v>
      </c>
      <c r="R9" s="14" t="s">
        <v>31</v>
      </c>
      <c r="S9" s="15" t="s">
        <v>63</v>
      </c>
      <c r="T9" s="15" t="s">
        <v>63</v>
      </c>
      <c r="U9" s="14" t="s">
        <v>31</v>
      </c>
    </row>
    <row r="10" ht="15.75" hidden="1" customHeight="1">
      <c r="A10" s="7" t="s">
        <v>50</v>
      </c>
      <c r="B10" s="8">
        <v>1.03431422E9</v>
      </c>
      <c r="C10" s="9" t="s">
        <v>74</v>
      </c>
      <c r="D10" s="10">
        <v>35027.0</v>
      </c>
      <c r="E10" s="7">
        <v>3.208321778E9</v>
      </c>
      <c r="F10" s="11" t="s">
        <v>75</v>
      </c>
      <c r="G10" s="7" t="s">
        <v>76</v>
      </c>
      <c r="H10" s="7">
        <f t="shared" si="1"/>
        <v>31</v>
      </c>
      <c r="I10" s="12" t="s">
        <v>25</v>
      </c>
      <c r="J10" s="7" t="s">
        <v>35</v>
      </c>
      <c r="K10" s="7" t="s">
        <v>27</v>
      </c>
      <c r="L10" s="7" t="s">
        <v>28</v>
      </c>
      <c r="M10" s="12" t="s">
        <v>61</v>
      </c>
      <c r="N10" s="12" t="s">
        <v>62</v>
      </c>
      <c r="O10" s="10">
        <v>44314.0</v>
      </c>
      <c r="P10" s="13">
        <f t="shared" si="2"/>
        <v>44404</v>
      </c>
      <c r="Q10" s="13">
        <v>45348.0</v>
      </c>
      <c r="R10" s="14" t="s">
        <v>31</v>
      </c>
      <c r="S10" s="15" t="s">
        <v>63</v>
      </c>
      <c r="T10" s="15" t="s">
        <v>63</v>
      </c>
      <c r="U10" s="14" t="s">
        <v>31</v>
      </c>
    </row>
    <row r="11" ht="15.75" hidden="1" customHeight="1">
      <c r="A11" s="25" t="s">
        <v>50</v>
      </c>
      <c r="B11" s="26">
        <v>1.000518845E9</v>
      </c>
      <c r="C11" s="27" t="s">
        <v>77</v>
      </c>
      <c r="D11" s="28">
        <v>37485.0</v>
      </c>
      <c r="E11" s="29">
        <v>3.19221401E9</v>
      </c>
      <c r="F11" s="30" t="s">
        <v>78</v>
      </c>
      <c r="G11" s="29" t="s">
        <v>79</v>
      </c>
      <c r="H11" s="7">
        <f t="shared" si="1"/>
        <v>24</v>
      </c>
      <c r="I11" s="12" t="s">
        <v>67</v>
      </c>
      <c r="J11" s="7" t="s">
        <v>26</v>
      </c>
      <c r="K11" s="7" t="s">
        <v>27</v>
      </c>
      <c r="L11" s="7" t="s">
        <v>48</v>
      </c>
      <c r="M11" s="12" t="s">
        <v>80</v>
      </c>
      <c r="N11" s="12" t="s">
        <v>30</v>
      </c>
      <c r="O11" s="31">
        <v>45021.0</v>
      </c>
      <c r="P11" s="13">
        <f t="shared" si="2"/>
        <v>45111</v>
      </c>
      <c r="Q11" s="11" t="s">
        <v>81</v>
      </c>
      <c r="R11" s="14" t="s">
        <v>31</v>
      </c>
      <c r="S11" s="32">
        <v>1462000.0</v>
      </c>
      <c r="T11" s="15">
        <v>731000.0</v>
      </c>
      <c r="U11" s="14" t="s">
        <v>31</v>
      </c>
    </row>
    <row r="12" ht="15.75" customHeight="1">
      <c r="A12" s="16" t="s">
        <v>21</v>
      </c>
      <c r="B12" s="11">
        <v>6666153.0</v>
      </c>
      <c r="C12" s="9" t="s">
        <v>82</v>
      </c>
      <c r="D12" s="17">
        <v>35184.0</v>
      </c>
      <c r="E12" s="7">
        <v>3.114615778E9</v>
      </c>
      <c r="F12" s="11" t="s">
        <v>83</v>
      </c>
      <c r="G12" s="11" t="s">
        <v>84</v>
      </c>
      <c r="H12" s="7">
        <f t="shared" si="1"/>
        <v>30</v>
      </c>
      <c r="I12" s="12" t="s">
        <v>25</v>
      </c>
      <c r="J12" s="7" t="s">
        <v>35</v>
      </c>
      <c r="K12" s="11" t="s">
        <v>36</v>
      </c>
      <c r="L12" s="7" t="s">
        <v>48</v>
      </c>
      <c r="M12" s="12" t="s">
        <v>61</v>
      </c>
      <c r="N12" s="12" t="s">
        <v>62</v>
      </c>
      <c r="O12" s="17">
        <v>44452.0</v>
      </c>
      <c r="P12" s="17">
        <f t="shared" si="2"/>
        <v>44542</v>
      </c>
      <c r="Q12" s="7"/>
      <c r="R12" s="12" t="s">
        <v>39</v>
      </c>
      <c r="S12" s="15" t="s">
        <v>63</v>
      </c>
      <c r="T12" s="15" t="s">
        <v>63</v>
      </c>
      <c r="U12" s="11" t="s">
        <v>85</v>
      </c>
    </row>
    <row r="13" ht="15.75" hidden="1" customHeight="1">
      <c r="A13" s="7" t="s">
        <v>21</v>
      </c>
      <c r="B13" s="8">
        <v>3.1622946E7</v>
      </c>
      <c r="C13" s="9" t="s">
        <v>86</v>
      </c>
      <c r="D13" s="10">
        <v>37725.0</v>
      </c>
      <c r="E13" s="7">
        <v>3.115705319E9</v>
      </c>
      <c r="F13" s="11" t="s">
        <v>87</v>
      </c>
      <c r="G13" s="7" t="s">
        <v>88</v>
      </c>
      <c r="H13" s="7">
        <f t="shared" si="1"/>
        <v>23</v>
      </c>
      <c r="I13" s="12" t="s">
        <v>67</v>
      </c>
      <c r="J13" s="7" t="s">
        <v>26</v>
      </c>
      <c r="K13" s="7" t="s">
        <v>89</v>
      </c>
      <c r="L13" s="7" t="s">
        <v>48</v>
      </c>
      <c r="M13" s="12" t="s">
        <v>61</v>
      </c>
      <c r="N13" s="12" t="s">
        <v>62</v>
      </c>
      <c r="O13" s="10">
        <v>44797.0</v>
      </c>
      <c r="P13" s="13">
        <f t="shared" si="2"/>
        <v>44887</v>
      </c>
      <c r="Q13" s="13">
        <v>45142.0</v>
      </c>
      <c r="R13" s="14" t="s">
        <v>31</v>
      </c>
      <c r="S13" s="15" t="s">
        <v>63</v>
      </c>
      <c r="T13" s="15" t="s">
        <v>63</v>
      </c>
      <c r="U13" s="14" t="s">
        <v>31</v>
      </c>
    </row>
    <row r="14" ht="15.75" hidden="1" customHeight="1">
      <c r="A14" s="7" t="s">
        <v>50</v>
      </c>
      <c r="B14" s="8">
        <v>1.018516913E9</v>
      </c>
      <c r="C14" s="9" t="s">
        <v>90</v>
      </c>
      <c r="D14" s="10">
        <v>33473.0</v>
      </c>
      <c r="E14" s="7">
        <v>3.012575731E9</v>
      </c>
      <c r="F14" s="11" t="s">
        <v>91</v>
      </c>
      <c r="G14" s="7" t="s">
        <v>92</v>
      </c>
      <c r="H14" s="7">
        <f t="shared" si="1"/>
        <v>35</v>
      </c>
      <c r="I14" s="12" t="s">
        <v>25</v>
      </c>
      <c r="J14" s="7" t="s">
        <v>26</v>
      </c>
      <c r="K14" s="7" t="s">
        <v>89</v>
      </c>
      <c r="L14" s="7" t="s">
        <v>48</v>
      </c>
      <c r="M14" s="12" t="s">
        <v>61</v>
      </c>
      <c r="N14" s="12" t="s">
        <v>62</v>
      </c>
      <c r="O14" s="10">
        <v>44203.0</v>
      </c>
      <c r="P14" s="13">
        <f t="shared" si="2"/>
        <v>44293</v>
      </c>
      <c r="Q14" s="33">
        <v>45012.0</v>
      </c>
      <c r="R14" s="14" t="s">
        <v>31</v>
      </c>
      <c r="S14" s="15" t="s">
        <v>63</v>
      </c>
      <c r="T14" s="15" t="s">
        <v>63</v>
      </c>
      <c r="U14" s="14" t="s">
        <v>31</v>
      </c>
    </row>
    <row r="15" ht="15.75" hidden="1" customHeight="1">
      <c r="A15" s="7" t="s">
        <v>50</v>
      </c>
      <c r="B15" s="8">
        <v>1.09483692E9</v>
      </c>
      <c r="C15" s="9" t="s">
        <v>93</v>
      </c>
      <c r="D15" s="10">
        <v>35746.0</v>
      </c>
      <c r="E15" s="7">
        <v>3.125469113E9</v>
      </c>
      <c r="F15" s="11" t="s">
        <v>94</v>
      </c>
      <c r="G15" s="7" t="s">
        <v>95</v>
      </c>
      <c r="H15" s="7">
        <f t="shared" si="1"/>
        <v>29</v>
      </c>
      <c r="I15" s="12" t="s">
        <v>25</v>
      </c>
      <c r="J15" s="7" t="s">
        <v>35</v>
      </c>
      <c r="K15" s="7" t="s">
        <v>27</v>
      </c>
      <c r="L15" s="7" t="s">
        <v>73</v>
      </c>
      <c r="M15" s="12" t="s">
        <v>61</v>
      </c>
      <c r="N15" s="12" t="s">
        <v>62</v>
      </c>
      <c r="O15" s="10">
        <v>44092.0</v>
      </c>
      <c r="P15" s="13">
        <f t="shared" si="2"/>
        <v>44182</v>
      </c>
      <c r="Q15" s="11" t="s">
        <v>96</v>
      </c>
      <c r="R15" s="14" t="s">
        <v>31</v>
      </c>
      <c r="S15" s="15" t="s">
        <v>63</v>
      </c>
      <c r="T15" s="15" t="s">
        <v>63</v>
      </c>
      <c r="U15" s="14" t="s">
        <v>31</v>
      </c>
    </row>
    <row r="16" ht="15.75" hidden="1" customHeight="1">
      <c r="A16" s="34" t="s">
        <v>21</v>
      </c>
      <c r="B16" s="8">
        <v>6555833.0</v>
      </c>
      <c r="C16" s="9" t="s">
        <v>97</v>
      </c>
      <c r="D16" s="10">
        <v>37865.0</v>
      </c>
      <c r="E16" s="7">
        <v>3.21220267E9</v>
      </c>
      <c r="F16" s="11" t="s">
        <v>98</v>
      </c>
      <c r="G16" s="7" t="s">
        <v>99</v>
      </c>
      <c r="H16" s="7">
        <f t="shared" si="1"/>
        <v>23</v>
      </c>
      <c r="I16" s="12" t="s">
        <v>67</v>
      </c>
      <c r="J16" s="7" t="s">
        <v>26</v>
      </c>
      <c r="K16" s="7" t="s">
        <v>89</v>
      </c>
      <c r="L16" s="7" t="s">
        <v>48</v>
      </c>
      <c r="M16" s="12" t="s">
        <v>61</v>
      </c>
      <c r="N16" s="12" t="s">
        <v>62</v>
      </c>
      <c r="O16" s="10">
        <v>44105.0</v>
      </c>
      <c r="P16" s="13">
        <f t="shared" si="2"/>
        <v>44195</v>
      </c>
      <c r="Q16" s="13">
        <v>45337.0</v>
      </c>
      <c r="R16" s="14" t="s">
        <v>31</v>
      </c>
      <c r="S16" s="15" t="s">
        <v>63</v>
      </c>
      <c r="T16" s="15" t="s">
        <v>63</v>
      </c>
      <c r="U16" s="14" t="s">
        <v>31</v>
      </c>
    </row>
    <row r="17" ht="15.75" customHeight="1">
      <c r="A17" s="34" t="s">
        <v>50</v>
      </c>
      <c r="B17" s="11">
        <v>1.006569497E9</v>
      </c>
      <c r="C17" s="7" t="s">
        <v>100</v>
      </c>
      <c r="D17" s="17">
        <v>36714.0</v>
      </c>
      <c r="E17" s="7">
        <v>3.002797716E9</v>
      </c>
      <c r="F17" s="7" t="s">
        <v>101</v>
      </c>
      <c r="G17" s="11" t="s">
        <v>102</v>
      </c>
      <c r="H17" s="35">
        <f t="shared" si="1"/>
        <v>26</v>
      </c>
      <c r="I17" s="12" t="s">
        <v>25</v>
      </c>
      <c r="J17" s="7" t="s">
        <v>35</v>
      </c>
      <c r="K17" s="11" t="s">
        <v>36</v>
      </c>
      <c r="L17" s="11" t="s">
        <v>28</v>
      </c>
      <c r="M17" s="36" t="s">
        <v>61</v>
      </c>
      <c r="N17" s="36" t="s">
        <v>62</v>
      </c>
      <c r="O17" s="17">
        <v>44976.0</v>
      </c>
      <c r="P17" s="37">
        <f t="shared" si="2"/>
        <v>45066</v>
      </c>
      <c r="Q17" s="7"/>
      <c r="R17" s="12" t="s">
        <v>39</v>
      </c>
      <c r="S17" s="38">
        <v>1850000.0</v>
      </c>
      <c r="T17" s="38">
        <v>925000.0</v>
      </c>
      <c r="U17" s="11" t="s">
        <v>103</v>
      </c>
    </row>
    <row r="18" ht="15.75" hidden="1" customHeight="1">
      <c r="A18" s="7" t="s">
        <v>21</v>
      </c>
      <c r="B18" s="8">
        <v>2050525.0</v>
      </c>
      <c r="C18" s="9" t="s">
        <v>104</v>
      </c>
      <c r="D18" s="10">
        <v>34536.0</v>
      </c>
      <c r="E18" s="7">
        <v>3.112090305E9</v>
      </c>
      <c r="F18" s="11" t="s">
        <v>105</v>
      </c>
      <c r="G18" s="11" t="s">
        <v>106</v>
      </c>
      <c r="H18" s="7">
        <f t="shared" si="1"/>
        <v>32</v>
      </c>
      <c r="I18" s="12" t="s">
        <v>25</v>
      </c>
      <c r="J18" s="7" t="s">
        <v>26</v>
      </c>
      <c r="K18" s="7" t="s">
        <v>89</v>
      </c>
      <c r="L18" s="7" t="s">
        <v>48</v>
      </c>
      <c r="M18" s="12" t="s">
        <v>61</v>
      </c>
      <c r="N18" s="12" t="s">
        <v>62</v>
      </c>
      <c r="O18" s="10">
        <v>44777.0</v>
      </c>
      <c r="P18" s="13">
        <f t="shared" si="2"/>
        <v>44867</v>
      </c>
      <c r="Q18" s="13">
        <v>45366.0</v>
      </c>
      <c r="R18" s="14" t="s">
        <v>31</v>
      </c>
      <c r="S18" s="15" t="s">
        <v>63</v>
      </c>
      <c r="T18" s="15" t="s">
        <v>63</v>
      </c>
      <c r="U18" s="14" t="s">
        <v>31</v>
      </c>
    </row>
    <row r="19" ht="15.75" hidden="1" customHeight="1">
      <c r="A19" s="39" t="s">
        <v>21</v>
      </c>
      <c r="B19" s="8">
        <v>5525682.0</v>
      </c>
      <c r="C19" s="9" t="s">
        <v>107</v>
      </c>
      <c r="D19" s="20">
        <v>30359.0</v>
      </c>
      <c r="E19" s="7">
        <v>3.22243723E9</v>
      </c>
      <c r="F19" s="11" t="s">
        <v>108</v>
      </c>
      <c r="G19" s="11" t="s">
        <v>109</v>
      </c>
      <c r="H19" s="7">
        <f t="shared" si="1"/>
        <v>43</v>
      </c>
      <c r="I19" s="12" t="s">
        <v>25</v>
      </c>
      <c r="J19" s="11" t="s">
        <v>35</v>
      </c>
      <c r="K19" s="11" t="s">
        <v>36</v>
      </c>
      <c r="L19" s="7" t="s">
        <v>73</v>
      </c>
      <c r="M19" s="12" t="s">
        <v>61</v>
      </c>
      <c r="N19" s="12" t="s">
        <v>62</v>
      </c>
      <c r="O19" s="21">
        <v>44332.0</v>
      </c>
      <c r="P19" s="21">
        <f t="shared" si="2"/>
        <v>44422</v>
      </c>
      <c r="Q19" s="22">
        <v>45965.0</v>
      </c>
      <c r="R19" s="14" t="s">
        <v>31</v>
      </c>
      <c r="S19" s="15" t="s">
        <v>63</v>
      </c>
      <c r="T19" s="15" t="s">
        <v>63</v>
      </c>
      <c r="U19" s="14" t="s">
        <v>31</v>
      </c>
    </row>
    <row r="20" ht="15.75" customHeight="1">
      <c r="A20" s="16" t="s">
        <v>50</v>
      </c>
      <c r="B20" s="11">
        <v>3.9658864E7</v>
      </c>
      <c r="C20" s="9" t="s">
        <v>110</v>
      </c>
      <c r="D20" s="17">
        <v>25861.0</v>
      </c>
      <c r="E20" s="7">
        <v>3.106975908E9</v>
      </c>
      <c r="F20" s="11" t="s">
        <v>111</v>
      </c>
      <c r="G20" s="11" t="s">
        <v>112</v>
      </c>
      <c r="H20" s="7">
        <f t="shared" si="1"/>
        <v>56</v>
      </c>
      <c r="I20" s="12" t="s">
        <v>67</v>
      </c>
      <c r="J20" s="7" t="s">
        <v>26</v>
      </c>
      <c r="K20" s="7" t="s">
        <v>27</v>
      </c>
      <c r="L20" s="11" t="s">
        <v>37</v>
      </c>
      <c r="M20" s="12" t="s">
        <v>113</v>
      </c>
      <c r="N20" s="12" t="s">
        <v>30</v>
      </c>
      <c r="O20" s="17">
        <v>41390.0</v>
      </c>
      <c r="P20" s="17">
        <f t="shared" si="2"/>
        <v>41480</v>
      </c>
      <c r="Q20" s="7"/>
      <c r="R20" s="12" t="s">
        <v>39</v>
      </c>
      <c r="S20" s="18">
        <v>5376500.0</v>
      </c>
      <c r="T20" s="15">
        <f>S20/2</f>
        <v>2688250</v>
      </c>
      <c r="U20" s="11" t="s">
        <v>114</v>
      </c>
    </row>
    <row r="21" ht="15.75" hidden="1" customHeight="1">
      <c r="A21" s="40" t="s">
        <v>115</v>
      </c>
      <c r="B21" s="8">
        <v>1.782161E7</v>
      </c>
      <c r="C21" s="9" t="s">
        <v>116</v>
      </c>
      <c r="D21" s="10">
        <v>31687.0</v>
      </c>
      <c r="E21" s="7">
        <v>3.028238728E9</v>
      </c>
      <c r="F21" s="11" t="s">
        <v>117</v>
      </c>
      <c r="G21" s="7" t="s">
        <v>118</v>
      </c>
      <c r="H21" s="7">
        <f t="shared" si="1"/>
        <v>40</v>
      </c>
      <c r="I21" s="12" t="s">
        <v>25</v>
      </c>
      <c r="J21" s="7" t="s">
        <v>26</v>
      </c>
      <c r="K21" s="7" t="s">
        <v>89</v>
      </c>
      <c r="L21" s="7" t="s">
        <v>48</v>
      </c>
      <c r="M21" s="12" t="s">
        <v>61</v>
      </c>
      <c r="N21" s="12" t="s">
        <v>62</v>
      </c>
      <c r="O21" s="10">
        <v>44246.0</v>
      </c>
      <c r="P21" s="13">
        <f t="shared" si="2"/>
        <v>44336</v>
      </c>
      <c r="Q21" s="13">
        <v>45366.0</v>
      </c>
      <c r="R21" s="14" t="s">
        <v>31</v>
      </c>
      <c r="S21" s="15" t="s">
        <v>63</v>
      </c>
      <c r="T21" s="15" t="s">
        <v>63</v>
      </c>
      <c r="U21" s="14" t="s">
        <v>31</v>
      </c>
    </row>
    <row r="22" ht="15.75" hidden="1" customHeight="1">
      <c r="A22" s="41" t="s">
        <v>21</v>
      </c>
      <c r="B22" s="8">
        <v>5166302.0</v>
      </c>
      <c r="C22" s="9" t="s">
        <v>119</v>
      </c>
      <c r="D22" s="10">
        <v>37313.0</v>
      </c>
      <c r="E22" s="7">
        <v>3.222677089E9</v>
      </c>
      <c r="F22" s="11" t="s">
        <v>120</v>
      </c>
      <c r="G22" s="7" t="s">
        <v>99</v>
      </c>
      <c r="H22" s="7">
        <f t="shared" si="1"/>
        <v>24</v>
      </c>
      <c r="I22" s="12" t="s">
        <v>25</v>
      </c>
      <c r="J22" s="7" t="s">
        <v>35</v>
      </c>
      <c r="K22" s="7" t="s">
        <v>27</v>
      </c>
      <c r="L22" s="7" t="s">
        <v>48</v>
      </c>
      <c r="M22" s="12" t="s">
        <v>29</v>
      </c>
      <c r="N22" s="12" t="s">
        <v>30</v>
      </c>
      <c r="O22" s="10">
        <v>44150.0</v>
      </c>
      <c r="P22" s="13">
        <f t="shared" si="2"/>
        <v>44240</v>
      </c>
      <c r="Q22" s="13">
        <v>45366.0</v>
      </c>
      <c r="R22" s="14" t="s">
        <v>31</v>
      </c>
      <c r="S22" s="15">
        <v>1800000.0</v>
      </c>
      <c r="T22" s="15">
        <v>900000.0</v>
      </c>
      <c r="U22" s="14" t="s">
        <v>31</v>
      </c>
    </row>
    <row r="23" ht="15.75" hidden="1" customHeight="1">
      <c r="A23" s="34" t="s">
        <v>21</v>
      </c>
      <c r="B23" s="8">
        <v>2.7603182E7</v>
      </c>
      <c r="C23" s="9" t="s">
        <v>121</v>
      </c>
      <c r="D23" s="10">
        <v>36667.0</v>
      </c>
      <c r="E23" s="7">
        <v>3.212826731E9</v>
      </c>
      <c r="F23" s="11" t="s">
        <v>122</v>
      </c>
      <c r="G23" s="7" t="s">
        <v>60</v>
      </c>
      <c r="H23" s="7">
        <f t="shared" si="1"/>
        <v>26</v>
      </c>
      <c r="I23" s="12" t="s">
        <v>67</v>
      </c>
      <c r="J23" s="7" t="s">
        <v>26</v>
      </c>
      <c r="K23" s="7" t="s">
        <v>89</v>
      </c>
      <c r="L23" s="7" t="s">
        <v>48</v>
      </c>
      <c r="M23" s="12" t="s">
        <v>61</v>
      </c>
      <c r="N23" s="12" t="s">
        <v>62</v>
      </c>
      <c r="O23" s="10">
        <v>44407.0</v>
      </c>
      <c r="P23" s="13">
        <f t="shared" si="2"/>
        <v>44497</v>
      </c>
      <c r="Q23" s="13">
        <v>45202.0</v>
      </c>
      <c r="R23" s="14" t="s">
        <v>31</v>
      </c>
      <c r="S23" s="15" t="s">
        <v>63</v>
      </c>
      <c r="T23" s="15" t="s">
        <v>63</v>
      </c>
      <c r="U23" s="14" t="s">
        <v>31</v>
      </c>
    </row>
    <row r="24" ht="15.75" hidden="1" customHeight="1">
      <c r="A24" s="11" t="s">
        <v>115</v>
      </c>
      <c r="B24" s="8">
        <v>3.0038959E7</v>
      </c>
      <c r="C24" s="9" t="s">
        <v>123</v>
      </c>
      <c r="D24" s="10">
        <v>36899.0</v>
      </c>
      <c r="E24" s="7">
        <v>3.176392211E9</v>
      </c>
      <c r="F24" s="11" t="s">
        <v>124</v>
      </c>
      <c r="G24" s="7" t="s">
        <v>125</v>
      </c>
      <c r="H24" s="7">
        <f t="shared" si="1"/>
        <v>25</v>
      </c>
      <c r="I24" s="12" t="s">
        <v>67</v>
      </c>
      <c r="J24" s="7" t="s">
        <v>26</v>
      </c>
      <c r="K24" s="7" t="s">
        <v>89</v>
      </c>
      <c r="L24" s="7" t="s">
        <v>28</v>
      </c>
      <c r="M24" s="12" t="s">
        <v>61</v>
      </c>
      <c r="N24" s="12" t="s">
        <v>62</v>
      </c>
      <c r="O24" s="10">
        <v>44540.0</v>
      </c>
      <c r="P24" s="13">
        <f t="shared" si="2"/>
        <v>44630</v>
      </c>
      <c r="Q24" s="13">
        <v>45324.0</v>
      </c>
      <c r="R24" s="14" t="s">
        <v>31</v>
      </c>
      <c r="S24" s="15" t="s">
        <v>63</v>
      </c>
      <c r="T24" s="15" t="s">
        <v>63</v>
      </c>
      <c r="U24" s="14" t="s">
        <v>31</v>
      </c>
    </row>
    <row r="25" ht="15.75" hidden="1" customHeight="1">
      <c r="A25" s="40" t="s">
        <v>115</v>
      </c>
      <c r="B25" s="8">
        <v>2.8372132E7</v>
      </c>
      <c r="C25" s="9" t="s">
        <v>126</v>
      </c>
      <c r="D25" s="10">
        <v>37314.0</v>
      </c>
      <c r="E25" s="7">
        <v>3.219870721E9</v>
      </c>
      <c r="F25" s="11" t="s">
        <v>127</v>
      </c>
      <c r="G25" s="7" t="s">
        <v>128</v>
      </c>
      <c r="H25" s="7">
        <f t="shared" si="1"/>
        <v>24</v>
      </c>
      <c r="I25" s="12" t="s">
        <v>67</v>
      </c>
      <c r="J25" s="7" t="s">
        <v>26</v>
      </c>
      <c r="K25" s="7" t="s">
        <v>89</v>
      </c>
      <c r="L25" s="7" t="s">
        <v>73</v>
      </c>
      <c r="M25" s="12" t="s">
        <v>61</v>
      </c>
      <c r="N25" s="12" t="s">
        <v>62</v>
      </c>
      <c r="O25" s="10">
        <v>44765.0</v>
      </c>
      <c r="P25" s="13">
        <f t="shared" si="2"/>
        <v>44855</v>
      </c>
      <c r="Q25" s="13">
        <v>45488.0</v>
      </c>
      <c r="R25" s="14" t="s">
        <v>31</v>
      </c>
      <c r="S25" s="32" t="s">
        <v>63</v>
      </c>
      <c r="T25" s="32" t="s">
        <v>63</v>
      </c>
      <c r="U25" s="14" t="s">
        <v>31</v>
      </c>
    </row>
    <row r="26" ht="15.75" hidden="1" customHeight="1">
      <c r="A26" s="7" t="s">
        <v>21</v>
      </c>
      <c r="B26" s="8">
        <v>3046989.0</v>
      </c>
      <c r="C26" s="9" t="s">
        <v>129</v>
      </c>
      <c r="D26" s="10">
        <v>35899.0</v>
      </c>
      <c r="E26" s="7">
        <v>3.025962223E9</v>
      </c>
      <c r="F26" s="11" t="s">
        <v>130</v>
      </c>
      <c r="G26" s="7" t="s">
        <v>131</v>
      </c>
      <c r="H26" s="7">
        <f t="shared" si="1"/>
        <v>28</v>
      </c>
      <c r="I26" s="12" t="s">
        <v>67</v>
      </c>
      <c r="J26" s="7" t="s">
        <v>26</v>
      </c>
      <c r="K26" s="7" t="s">
        <v>27</v>
      </c>
      <c r="L26" s="7" t="s">
        <v>28</v>
      </c>
      <c r="M26" s="12" t="s">
        <v>61</v>
      </c>
      <c r="N26" s="12" t="s">
        <v>62</v>
      </c>
      <c r="O26" s="10">
        <v>44591.0</v>
      </c>
      <c r="P26" s="13">
        <f t="shared" si="2"/>
        <v>44681</v>
      </c>
      <c r="Q26" s="13">
        <v>45199.0</v>
      </c>
      <c r="R26" s="14" t="s">
        <v>31</v>
      </c>
      <c r="S26" s="15" t="s">
        <v>63</v>
      </c>
      <c r="T26" s="15" t="s">
        <v>63</v>
      </c>
      <c r="U26" s="14" t="s">
        <v>31</v>
      </c>
    </row>
    <row r="27" ht="15.75" hidden="1" customHeight="1">
      <c r="A27" s="11" t="s">
        <v>115</v>
      </c>
      <c r="B27" s="8">
        <v>2.6914117E7</v>
      </c>
      <c r="C27" s="9" t="s">
        <v>132</v>
      </c>
      <c r="D27" s="10">
        <v>35478.0</v>
      </c>
      <c r="E27" s="7">
        <v>3.219870721E9</v>
      </c>
      <c r="F27" s="11" t="s">
        <v>133</v>
      </c>
      <c r="G27" s="7" t="s">
        <v>128</v>
      </c>
      <c r="H27" s="7">
        <f t="shared" si="1"/>
        <v>29</v>
      </c>
      <c r="I27" s="12" t="s">
        <v>25</v>
      </c>
      <c r="J27" s="7" t="s">
        <v>26</v>
      </c>
      <c r="K27" s="7" t="s">
        <v>89</v>
      </c>
      <c r="L27" s="7" t="s">
        <v>28</v>
      </c>
      <c r="M27" s="12" t="s">
        <v>61</v>
      </c>
      <c r="N27" s="12" t="s">
        <v>62</v>
      </c>
      <c r="O27" s="10">
        <v>44765.0</v>
      </c>
      <c r="P27" s="13">
        <f t="shared" si="2"/>
        <v>44855</v>
      </c>
      <c r="Q27" s="33">
        <v>45199.0</v>
      </c>
      <c r="R27" s="14" t="s">
        <v>31</v>
      </c>
      <c r="S27" s="15" t="s">
        <v>63</v>
      </c>
      <c r="T27" s="15" t="s">
        <v>63</v>
      </c>
      <c r="U27" s="14" t="s">
        <v>31</v>
      </c>
    </row>
    <row r="28" ht="15.75" hidden="1" customHeight="1">
      <c r="A28" s="7" t="s">
        <v>21</v>
      </c>
      <c r="B28" s="8">
        <v>3455301.0</v>
      </c>
      <c r="C28" s="9" t="s">
        <v>134</v>
      </c>
      <c r="D28" s="10">
        <v>34834.0</v>
      </c>
      <c r="E28" s="7">
        <v>3.223360754E9</v>
      </c>
      <c r="F28" s="11" t="s">
        <v>135</v>
      </c>
      <c r="G28" s="7" t="s">
        <v>136</v>
      </c>
      <c r="H28" s="7">
        <f t="shared" si="1"/>
        <v>31</v>
      </c>
      <c r="I28" s="12" t="s">
        <v>25</v>
      </c>
      <c r="J28" s="7" t="s">
        <v>35</v>
      </c>
      <c r="K28" s="7" t="s">
        <v>27</v>
      </c>
      <c r="L28" s="7" t="s">
        <v>28</v>
      </c>
      <c r="M28" s="12" t="s">
        <v>61</v>
      </c>
      <c r="N28" s="12" t="s">
        <v>62</v>
      </c>
      <c r="O28" s="10">
        <v>44501.0</v>
      </c>
      <c r="P28" s="13">
        <f t="shared" si="2"/>
        <v>44591</v>
      </c>
      <c r="Q28" s="13">
        <v>45069.0</v>
      </c>
      <c r="R28" s="14" t="s">
        <v>31</v>
      </c>
      <c r="S28" s="15" t="s">
        <v>63</v>
      </c>
      <c r="T28" s="15" t="s">
        <v>63</v>
      </c>
      <c r="U28" s="14" t="s">
        <v>31</v>
      </c>
    </row>
    <row r="29" ht="15.75" hidden="1" customHeight="1">
      <c r="A29" s="19" t="s">
        <v>21</v>
      </c>
      <c r="B29" s="8">
        <v>4769983.0</v>
      </c>
      <c r="C29" s="9" t="s">
        <v>137</v>
      </c>
      <c r="D29" s="10">
        <v>36143.0</v>
      </c>
      <c r="E29" s="7" t="s">
        <v>138</v>
      </c>
      <c r="F29" s="11" t="s">
        <v>139</v>
      </c>
      <c r="G29" s="7" t="s">
        <v>140</v>
      </c>
      <c r="H29" s="7">
        <f t="shared" si="1"/>
        <v>28</v>
      </c>
      <c r="I29" s="12" t="s">
        <v>25</v>
      </c>
      <c r="J29" s="7" t="s">
        <v>35</v>
      </c>
      <c r="K29" s="7" t="s">
        <v>27</v>
      </c>
      <c r="L29" s="7" t="s">
        <v>48</v>
      </c>
      <c r="M29" s="12" t="s">
        <v>38</v>
      </c>
      <c r="N29" s="12" t="s">
        <v>30</v>
      </c>
      <c r="O29" s="10">
        <v>43900.0</v>
      </c>
      <c r="P29" s="13">
        <f t="shared" si="2"/>
        <v>43990</v>
      </c>
      <c r="Q29" s="13">
        <v>45366.0</v>
      </c>
      <c r="R29" s="14" t="s">
        <v>31</v>
      </c>
      <c r="S29" s="15">
        <v>3300000.0</v>
      </c>
      <c r="T29" s="15">
        <v>1650000.0</v>
      </c>
      <c r="U29" s="14" t="s">
        <v>31</v>
      </c>
    </row>
    <row r="30" ht="15.75" customHeight="1">
      <c r="A30" s="42" t="s">
        <v>21</v>
      </c>
      <c r="B30" s="11">
        <v>696323.0</v>
      </c>
      <c r="C30" s="35" t="s">
        <v>141</v>
      </c>
      <c r="D30" s="43">
        <v>32623.0</v>
      </c>
      <c r="E30" s="35">
        <v>3.10280602E9</v>
      </c>
      <c r="F30" s="44" t="s">
        <v>142</v>
      </c>
      <c r="G30" s="44" t="s">
        <v>143</v>
      </c>
      <c r="H30" s="35">
        <f t="shared" si="1"/>
        <v>37</v>
      </c>
      <c r="I30" s="12" t="s">
        <v>25</v>
      </c>
      <c r="J30" s="7" t="s">
        <v>35</v>
      </c>
      <c r="K30" s="11" t="s">
        <v>36</v>
      </c>
      <c r="L30" s="11" t="s">
        <v>37</v>
      </c>
      <c r="M30" s="12" t="s">
        <v>29</v>
      </c>
      <c r="N30" s="12" t="s">
        <v>30</v>
      </c>
      <c r="O30" s="43">
        <v>44774.0</v>
      </c>
      <c r="P30" s="37">
        <f t="shared" si="2"/>
        <v>44864</v>
      </c>
      <c r="Q30" s="7"/>
      <c r="R30" s="12" t="s">
        <v>39</v>
      </c>
      <c r="S30" s="18">
        <v>2450000.0</v>
      </c>
      <c r="T30" s="18">
        <v>1225000.0</v>
      </c>
      <c r="U30" s="11" t="s">
        <v>144</v>
      </c>
    </row>
    <row r="31" ht="15.75" hidden="1" customHeight="1">
      <c r="A31" s="7" t="s">
        <v>50</v>
      </c>
      <c r="B31" s="8">
        <v>1.127956442E9</v>
      </c>
      <c r="C31" s="9" t="s">
        <v>145</v>
      </c>
      <c r="D31" s="10">
        <v>32450.0</v>
      </c>
      <c r="E31" s="7">
        <v>3.208654134E9</v>
      </c>
      <c r="F31" s="11" t="s">
        <v>146</v>
      </c>
      <c r="G31" s="7" t="s">
        <v>147</v>
      </c>
      <c r="H31" s="7">
        <f t="shared" si="1"/>
        <v>38</v>
      </c>
      <c r="I31" s="12" t="s">
        <v>67</v>
      </c>
      <c r="J31" s="7" t="s">
        <v>35</v>
      </c>
      <c r="K31" s="7" t="s">
        <v>27</v>
      </c>
      <c r="L31" s="7" t="s">
        <v>28</v>
      </c>
      <c r="M31" s="12" t="s">
        <v>61</v>
      </c>
      <c r="N31" s="12" t="s">
        <v>62</v>
      </c>
      <c r="O31" s="10">
        <v>44602.0</v>
      </c>
      <c r="P31" s="13">
        <f t="shared" si="2"/>
        <v>44692</v>
      </c>
      <c r="Q31" s="13">
        <v>45351.0</v>
      </c>
      <c r="R31" s="14" t="s">
        <v>31</v>
      </c>
      <c r="S31" s="15" t="s">
        <v>63</v>
      </c>
      <c r="T31" s="15" t="s">
        <v>63</v>
      </c>
      <c r="U31" s="14" t="s">
        <v>31</v>
      </c>
    </row>
    <row r="32" ht="15.75" hidden="1" customHeight="1">
      <c r="A32" s="7" t="s">
        <v>50</v>
      </c>
      <c r="B32" s="8">
        <v>1.094836919E9</v>
      </c>
      <c r="C32" s="9" t="s">
        <v>148</v>
      </c>
      <c r="D32" s="10">
        <v>35775.0</v>
      </c>
      <c r="E32" s="7">
        <v>3.024718157E9</v>
      </c>
      <c r="F32" s="11" t="s">
        <v>149</v>
      </c>
      <c r="G32" s="7" t="s">
        <v>88</v>
      </c>
      <c r="H32" s="7">
        <f t="shared" si="1"/>
        <v>29</v>
      </c>
      <c r="I32" s="12" t="s">
        <v>25</v>
      </c>
      <c r="J32" s="7" t="s">
        <v>35</v>
      </c>
      <c r="K32" s="7" t="s">
        <v>27</v>
      </c>
      <c r="L32" s="7" t="s">
        <v>48</v>
      </c>
      <c r="M32" s="12" t="s">
        <v>61</v>
      </c>
      <c r="N32" s="12" t="s">
        <v>62</v>
      </c>
      <c r="O32" s="10">
        <v>44492.0</v>
      </c>
      <c r="P32" s="13">
        <f t="shared" si="2"/>
        <v>44582</v>
      </c>
      <c r="Q32" s="13">
        <v>45343.0</v>
      </c>
      <c r="R32" s="14" t="s">
        <v>31</v>
      </c>
      <c r="S32" s="15" t="s">
        <v>63</v>
      </c>
      <c r="T32" s="15" t="s">
        <v>63</v>
      </c>
      <c r="U32" s="14" t="s">
        <v>31</v>
      </c>
    </row>
    <row r="33" ht="15.75" hidden="1" customHeight="1">
      <c r="A33" s="7" t="s">
        <v>21</v>
      </c>
      <c r="B33" s="8">
        <v>5025220.0</v>
      </c>
      <c r="C33" s="9" t="s">
        <v>150</v>
      </c>
      <c r="D33" s="10">
        <v>35825.0</v>
      </c>
      <c r="E33" s="7">
        <v>3.132918963E9</v>
      </c>
      <c r="F33" s="11" t="s">
        <v>151</v>
      </c>
      <c r="G33" s="7" t="s">
        <v>152</v>
      </c>
      <c r="H33" s="7">
        <v>24.0</v>
      </c>
      <c r="I33" s="12" t="s">
        <v>25</v>
      </c>
      <c r="J33" s="7" t="s">
        <v>26</v>
      </c>
      <c r="K33" s="7" t="s">
        <v>27</v>
      </c>
      <c r="L33" s="7" t="s">
        <v>48</v>
      </c>
      <c r="M33" s="12" t="s">
        <v>61</v>
      </c>
      <c r="N33" s="12" t="s">
        <v>62</v>
      </c>
      <c r="O33" s="10">
        <v>44289.0</v>
      </c>
      <c r="P33" s="13">
        <f t="shared" si="2"/>
        <v>44379</v>
      </c>
      <c r="Q33" s="13">
        <v>45116.0</v>
      </c>
      <c r="R33" s="14" t="s">
        <v>31</v>
      </c>
      <c r="S33" s="15" t="s">
        <v>63</v>
      </c>
      <c r="T33" s="15" t="s">
        <v>63</v>
      </c>
      <c r="U33" s="14" t="s">
        <v>31</v>
      </c>
    </row>
    <row r="34" ht="15.75" customHeight="1">
      <c r="A34" s="16" t="s">
        <v>21</v>
      </c>
      <c r="B34" s="11">
        <v>2241170.0</v>
      </c>
      <c r="C34" s="45" t="s">
        <v>153</v>
      </c>
      <c r="D34" s="46">
        <v>36812.0</v>
      </c>
      <c r="E34" s="11">
        <v>3.214070987E9</v>
      </c>
      <c r="F34" s="11" t="s">
        <v>154</v>
      </c>
      <c r="G34" s="11" t="s">
        <v>155</v>
      </c>
      <c r="H34" s="7">
        <f t="shared" ref="H34:H63" si="3">(YEAR(NOW())-YEAR(D34))</f>
        <v>26</v>
      </c>
      <c r="I34" s="12" t="s">
        <v>25</v>
      </c>
      <c r="J34" s="7" t="s">
        <v>35</v>
      </c>
      <c r="K34" s="11" t="s">
        <v>36</v>
      </c>
      <c r="L34" s="11" t="s">
        <v>37</v>
      </c>
      <c r="M34" s="12" t="s">
        <v>29</v>
      </c>
      <c r="N34" s="12" t="s">
        <v>30</v>
      </c>
      <c r="O34" s="46">
        <v>45292.0</v>
      </c>
      <c r="P34" s="17">
        <f t="shared" si="2"/>
        <v>45382</v>
      </c>
      <c r="Q34" s="7"/>
      <c r="R34" s="12" t="s">
        <v>39</v>
      </c>
      <c r="S34" s="18">
        <v>2450000.0</v>
      </c>
      <c r="T34" s="18">
        <v>1225000.0</v>
      </c>
      <c r="U34" s="11" t="s">
        <v>156</v>
      </c>
    </row>
    <row r="35" ht="15.75" customHeight="1">
      <c r="A35" s="16" t="s">
        <v>50</v>
      </c>
      <c r="B35" s="11">
        <v>7.9729856E7</v>
      </c>
      <c r="C35" s="9" t="s">
        <v>157</v>
      </c>
      <c r="D35" s="17">
        <v>28113.0</v>
      </c>
      <c r="E35" s="7">
        <v>3.144066504E9</v>
      </c>
      <c r="F35" s="11" t="s">
        <v>158</v>
      </c>
      <c r="G35" s="11" t="s">
        <v>112</v>
      </c>
      <c r="H35" s="7">
        <f t="shared" si="3"/>
        <v>50</v>
      </c>
      <c r="I35" s="12" t="s">
        <v>25</v>
      </c>
      <c r="J35" s="7" t="s">
        <v>159</v>
      </c>
      <c r="K35" s="7" t="s">
        <v>27</v>
      </c>
      <c r="L35" s="11" t="s">
        <v>37</v>
      </c>
      <c r="M35" s="12" t="s">
        <v>80</v>
      </c>
      <c r="N35" s="12" t="s">
        <v>30</v>
      </c>
      <c r="O35" s="17">
        <v>43862.0</v>
      </c>
      <c r="P35" s="17">
        <f t="shared" si="2"/>
        <v>43952</v>
      </c>
      <c r="Q35" s="7"/>
      <c r="R35" s="12" t="s">
        <v>39</v>
      </c>
      <c r="S35" s="18">
        <f>T35*2</f>
        <v>3389638</v>
      </c>
      <c r="T35" s="18">
        <v>1694819.0</v>
      </c>
      <c r="U35" s="11" t="s">
        <v>160</v>
      </c>
    </row>
    <row r="36" ht="15.75" hidden="1" customHeight="1">
      <c r="A36" s="7" t="s">
        <v>50</v>
      </c>
      <c r="B36" s="11">
        <v>1.09435463E9</v>
      </c>
      <c r="C36" s="7" t="s">
        <v>161</v>
      </c>
      <c r="D36" s="13">
        <v>37189.0</v>
      </c>
      <c r="E36" s="7">
        <v>3.203695801E9</v>
      </c>
      <c r="F36" s="11" t="s">
        <v>162</v>
      </c>
      <c r="G36" s="11" t="s">
        <v>163</v>
      </c>
      <c r="H36" s="35">
        <f t="shared" si="3"/>
        <v>25</v>
      </c>
      <c r="I36" s="12" t="s">
        <v>67</v>
      </c>
      <c r="J36" s="7" t="s">
        <v>35</v>
      </c>
      <c r="K36" s="11" t="s">
        <v>36</v>
      </c>
      <c r="L36" s="7" t="s">
        <v>73</v>
      </c>
      <c r="M36" s="12" t="s">
        <v>29</v>
      </c>
      <c r="N36" s="12" t="s">
        <v>30</v>
      </c>
      <c r="O36" s="21">
        <v>45398.0</v>
      </c>
      <c r="P36" s="47">
        <f>O36+60</f>
        <v>45458</v>
      </c>
      <c r="Q36" s="48">
        <v>45965.0</v>
      </c>
      <c r="R36" s="14" t="s">
        <v>31</v>
      </c>
      <c r="S36" s="38">
        <v>1750000.0</v>
      </c>
      <c r="T36" s="18">
        <v>875000.0</v>
      </c>
      <c r="U36" s="14" t="s">
        <v>31</v>
      </c>
    </row>
    <row r="37" ht="15.75" hidden="1" customHeight="1">
      <c r="A37" s="7" t="s">
        <v>50</v>
      </c>
      <c r="B37" s="49">
        <v>1.006116536E9</v>
      </c>
      <c r="C37" s="50" t="s">
        <v>164</v>
      </c>
      <c r="D37" s="51">
        <v>36562.0</v>
      </c>
      <c r="E37" s="42">
        <v>3.173761991E9</v>
      </c>
      <c r="F37" s="49" t="s">
        <v>165</v>
      </c>
      <c r="G37" s="42" t="s">
        <v>166</v>
      </c>
      <c r="H37" s="7">
        <f t="shared" si="3"/>
        <v>26</v>
      </c>
      <c r="I37" s="42" t="s">
        <v>67</v>
      </c>
      <c r="J37" s="7" t="s">
        <v>26</v>
      </c>
      <c r="K37" s="7" t="s">
        <v>27</v>
      </c>
      <c r="L37" s="7" t="s">
        <v>48</v>
      </c>
      <c r="M37" s="42" t="s">
        <v>80</v>
      </c>
      <c r="N37" s="42" t="s">
        <v>30</v>
      </c>
      <c r="O37" s="51">
        <v>44980.0</v>
      </c>
      <c r="P37" s="13">
        <f t="shared" ref="P37:P57" si="4">O37+90</f>
        <v>45070</v>
      </c>
      <c r="Q37" s="7" t="s">
        <v>167</v>
      </c>
      <c r="R37" s="14" t="s">
        <v>31</v>
      </c>
      <c r="S37" s="15">
        <v>1500000.0</v>
      </c>
      <c r="T37" s="15">
        <v>750000.0</v>
      </c>
      <c r="U37" s="14" t="s">
        <v>31</v>
      </c>
    </row>
    <row r="38" ht="15.75" hidden="1" customHeight="1">
      <c r="A38" s="52" t="s">
        <v>21</v>
      </c>
      <c r="B38" s="53">
        <v>5121189.0</v>
      </c>
      <c r="C38" s="9" t="s">
        <v>168</v>
      </c>
      <c r="D38" s="10">
        <v>30987.0</v>
      </c>
      <c r="E38" s="7">
        <v>3.227740011E9</v>
      </c>
      <c r="F38" s="11" t="s">
        <v>169</v>
      </c>
      <c r="G38" s="11" t="s">
        <v>170</v>
      </c>
      <c r="H38" s="7">
        <f t="shared" si="3"/>
        <v>42</v>
      </c>
      <c r="I38" s="12" t="s">
        <v>25</v>
      </c>
      <c r="J38" s="7" t="s">
        <v>35</v>
      </c>
      <c r="K38" s="7" t="s">
        <v>27</v>
      </c>
      <c r="L38" s="7" t="s">
        <v>73</v>
      </c>
      <c r="M38" s="12" t="s">
        <v>61</v>
      </c>
      <c r="N38" s="12" t="s">
        <v>62</v>
      </c>
      <c r="O38" s="10">
        <v>44792.0</v>
      </c>
      <c r="P38" s="13">
        <f t="shared" si="4"/>
        <v>44882</v>
      </c>
      <c r="Q38" s="13">
        <v>45070.0</v>
      </c>
      <c r="R38" s="14" t="s">
        <v>31</v>
      </c>
      <c r="S38" s="15" t="s">
        <v>63</v>
      </c>
      <c r="T38" s="15" t="s">
        <v>63</v>
      </c>
      <c r="U38" s="14" t="s">
        <v>31</v>
      </c>
    </row>
    <row r="39" ht="15.75" hidden="1" customHeight="1">
      <c r="A39" s="7" t="s">
        <v>21</v>
      </c>
      <c r="B39" s="8">
        <v>5384670.0</v>
      </c>
      <c r="C39" s="9" t="s">
        <v>171</v>
      </c>
      <c r="D39" s="10">
        <v>33818.0</v>
      </c>
      <c r="E39" s="7" t="s">
        <v>172</v>
      </c>
      <c r="F39" s="11" t="s">
        <v>173</v>
      </c>
      <c r="G39" s="7" t="s">
        <v>174</v>
      </c>
      <c r="H39" s="7">
        <f t="shared" si="3"/>
        <v>34</v>
      </c>
      <c r="I39" s="12" t="s">
        <v>25</v>
      </c>
      <c r="J39" s="7" t="s">
        <v>35</v>
      </c>
      <c r="K39" s="7" t="s">
        <v>27</v>
      </c>
      <c r="L39" s="7" t="s">
        <v>73</v>
      </c>
      <c r="M39" s="12" t="s">
        <v>61</v>
      </c>
      <c r="N39" s="12" t="s">
        <v>62</v>
      </c>
      <c r="O39" s="10">
        <v>44170.0</v>
      </c>
      <c r="P39" s="13">
        <f t="shared" si="4"/>
        <v>44260</v>
      </c>
      <c r="Q39" s="13">
        <v>45342.0</v>
      </c>
      <c r="R39" s="14" t="s">
        <v>31</v>
      </c>
      <c r="S39" s="15" t="s">
        <v>63</v>
      </c>
      <c r="T39" s="15" t="s">
        <v>63</v>
      </c>
      <c r="U39" s="14" t="s">
        <v>31</v>
      </c>
    </row>
    <row r="40" ht="15.75" hidden="1" customHeight="1">
      <c r="A40" s="39" t="s">
        <v>21</v>
      </c>
      <c r="B40" s="8">
        <v>6013836.0</v>
      </c>
      <c r="C40" s="9" t="s">
        <v>175</v>
      </c>
      <c r="D40" s="20">
        <v>35663.0</v>
      </c>
      <c r="E40" s="7">
        <v>3.173255006E9</v>
      </c>
      <c r="F40" s="11" t="s">
        <v>176</v>
      </c>
      <c r="G40" s="11" t="s">
        <v>177</v>
      </c>
      <c r="H40" s="7">
        <f t="shared" si="3"/>
        <v>29</v>
      </c>
      <c r="I40" s="12" t="s">
        <v>25</v>
      </c>
      <c r="J40" s="7" t="s">
        <v>26</v>
      </c>
      <c r="K40" s="7" t="s">
        <v>89</v>
      </c>
      <c r="L40" s="7" t="s">
        <v>73</v>
      </c>
      <c r="M40" s="12" t="s">
        <v>61</v>
      </c>
      <c r="N40" s="12" t="s">
        <v>62</v>
      </c>
      <c r="O40" s="21">
        <v>44138.0</v>
      </c>
      <c r="P40" s="21">
        <f t="shared" si="4"/>
        <v>44228</v>
      </c>
      <c r="Q40" s="22">
        <v>45964.0</v>
      </c>
      <c r="R40" s="14" t="s">
        <v>31</v>
      </c>
      <c r="S40" s="15" t="s">
        <v>63</v>
      </c>
      <c r="T40" s="15" t="s">
        <v>63</v>
      </c>
      <c r="U40" s="14" t="s">
        <v>31</v>
      </c>
    </row>
    <row r="41" ht="15.75" customHeight="1">
      <c r="A41" s="16" t="s">
        <v>21</v>
      </c>
      <c r="B41" s="11">
        <v>4882235.0</v>
      </c>
      <c r="C41" s="9" t="s">
        <v>178</v>
      </c>
      <c r="D41" s="17">
        <v>32807.0</v>
      </c>
      <c r="E41" s="7">
        <v>3.02647854E9</v>
      </c>
      <c r="F41" s="11" t="s">
        <v>179</v>
      </c>
      <c r="G41" s="11" t="s">
        <v>180</v>
      </c>
      <c r="H41" s="7">
        <f t="shared" si="3"/>
        <v>37</v>
      </c>
      <c r="I41" s="12" t="s">
        <v>25</v>
      </c>
      <c r="J41" s="7" t="s">
        <v>35</v>
      </c>
      <c r="K41" s="11" t="s">
        <v>36</v>
      </c>
      <c r="L41" s="11" t="s">
        <v>37</v>
      </c>
      <c r="M41" s="36" t="s">
        <v>29</v>
      </c>
      <c r="N41" s="36" t="s">
        <v>30</v>
      </c>
      <c r="O41" s="17">
        <v>44207.0</v>
      </c>
      <c r="P41" s="17">
        <f t="shared" si="4"/>
        <v>44297</v>
      </c>
      <c r="Q41" s="7"/>
      <c r="R41" s="12" t="s">
        <v>39</v>
      </c>
      <c r="S41" s="18">
        <v>2450000.0</v>
      </c>
      <c r="T41" s="18">
        <v>1225000.0</v>
      </c>
      <c r="U41" s="11" t="s">
        <v>181</v>
      </c>
    </row>
    <row r="42" ht="15.75" hidden="1" customHeight="1">
      <c r="A42" s="7" t="s">
        <v>21</v>
      </c>
      <c r="B42" s="8">
        <v>6898005.0</v>
      </c>
      <c r="C42" s="9" t="s">
        <v>182</v>
      </c>
      <c r="D42" s="10">
        <v>37440.0</v>
      </c>
      <c r="E42" s="7">
        <v>3.224428637E9</v>
      </c>
      <c r="F42" s="11" t="s">
        <v>183</v>
      </c>
      <c r="G42" s="7" t="s">
        <v>184</v>
      </c>
      <c r="H42" s="7">
        <f t="shared" si="3"/>
        <v>24</v>
      </c>
      <c r="I42" s="12" t="s">
        <v>25</v>
      </c>
      <c r="J42" s="7" t="s">
        <v>26</v>
      </c>
      <c r="K42" s="7" t="s">
        <v>89</v>
      </c>
      <c r="L42" s="7" t="s">
        <v>73</v>
      </c>
      <c r="M42" s="12" t="s">
        <v>61</v>
      </c>
      <c r="N42" s="12" t="s">
        <v>62</v>
      </c>
      <c r="O42" s="10">
        <v>44636.0</v>
      </c>
      <c r="P42" s="13">
        <f t="shared" si="4"/>
        <v>44726</v>
      </c>
      <c r="Q42" s="13">
        <v>45432.0</v>
      </c>
      <c r="R42" s="14" t="s">
        <v>31</v>
      </c>
      <c r="S42" s="32">
        <v>1300000.0</v>
      </c>
      <c r="T42" s="15">
        <v>650000.0</v>
      </c>
      <c r="U42" s="14" t="s">
        <v>31</v>
      </c>
    </row>
    <row r="43" ht="15.75" hidden="1" customHeight="1">
      <c r="A43" s="11" t="s">
        <v>115</v>
      </c>
      <c r="B43" s="8">
        <v>1.6930778E7</v>
      </c>
      <c r="C43" s="9" t="s">
        <v>185</v>
      </c>
      <c r="D43" s="10">
        <v>30880.0</v>
      </c>
      <c r="E43" s="7">
        <v>3.004187868E9</v>
      </c>
      <c r="F43" s="11" t="s">
        <v>186</v>
      </c>
      <c r="G43" s="7" t="s">
        <v>187</v>
      </c>
      <c r="H43" s="7">
        <f t="shared" si="3"/>
        <v>42</v>
      </c>
      <c r="I43" s="12" t="s">
        <v>25</v>
      </c>
      <c r="J43" s="7" t="s">
        <v>26</v>
      </c>
      <c r="K43" s="7" t="s">
        <v>89</v>
      </c>
      <c r="L43" s="7" t="s">
        <v>48</v>
      </c>
      <c r="M43" s="12" t="s">
        <v>61</v>
      </c>
      <c r="N43" s="12" t="s">
        <v>62</v>
      </c>
      <c r="O43" s="10">
        <v>44424.0</v>
      </c>
      <c r="P43" s="13">
        <f t="shared" si="4"/>
        <v>44514</v>
      </c>
      <c r="Q43" s="13">
        <v>45127.0</v>
      </c>
      <c r="R43" s="14" t="s">
        <v>31</v>
      </c>
      <c r="S43" s="15" t="s">
        <v>63</v>
      </c>
      <c r="T43" s="15" t="s">
        <v>63</v>
      </c>
      <c r="U43" s="14" t="s">
        <v>31</v>
      </c>
    </row>
    <row r="44" ht="15.75" hidden="1" customHeight="1">
      <c r="A44" s="16" t="s">
        <v>21</v>
      </c>
      <c r="B44" s="8">
        <v>4988158.0</v>
      </c>
      <c r="C44" s="9" t="s">
        <v>188</v>
      </c>
      <c r="D44" s="20">
        <v>34210.0</v>
      </c>
      <c r="E44" s="11">
        <v>3.236591163E9</v>
      </c>
      <c r="F44" s="11" t="s">
        <v>189</v>
      </c>
      <c r="G44" s="7" t="s">
        <v>190</v>
      </c>
      <c r="H44" s="7">
        <f t="shared" si="3"/>
        <v>33</v>
      </c>
      <c r="I44" s="12" t="s">
        <v>25</v>
      </c>
      <c r="J44" s="11" t="s">
        <v>35</v>
      </c>
      <c r="K44" s="11" t="s">
        <v>36</v>
      </c>
      <c r="L44" s="7" t="s">
        <v>48</v>
      </c>
      <c r="M44" s="12" t="s">
        <v>61</v>
      </c>
      <c r="N44" s="12" t="s">
        <v>62</v>
      </c>
      <c r="O44" s="21">
        <v>44232.0</v>
      </c>
      <c r="P44" s="21">
        <f t="shared" si="4"/>
        <v>44322</v>
      </c>
      <c r="Q44" s="22">
        <v>45965.0</v>
      </c>
      <c r="R44" s="14" t="s">
        <v>31</v>
      </c>
      <c r="S44" s="15" t="s">
        <v>63</v>
      </c>
      <c r="T44" s="54" t="s">
        <v>63</v>
      </c>
      <c r="U44" s="14" t="s">
        <v>31</v>
      </c>
    </row>
    <row r="45" ht="15.75" hidden="1" customHeight="1">
      <c r="A45" s="55" t="s">
        <v>50</v>
      </c>
      <c r="B45" s="11">
        <v>1.050039116E9</v>
      </c>
      <c r="C45" s="42" t="s">
        <v>191</v>
      </c>
      <c r="D45" s="37">
        <v>34796.0</v>
      </c>
      <c r="E45" s="12">
        <v>3.00219272E9</v>
      </c>
      <c r="F45" s="36" t="s">
        <v>192</v>
      </c>
      <c r="G45" s="36" t="s">
        <v>193</v>
      </c>
      <c r="H45" s="7">
        <f t="shared" si="3"/>
        <v>31</v>
      </c>
      <c r="I45" s="12" t="s">
        <v>67</v>
      </c>
      <c r="J45" s="7" t="s">
        <v>35</v>
      </c>
      <c r="K45" s="11" t="s">
        <v>36</v>
      </c>
      <c r="L45" s="11" t="s">
        <v>37</v>
      </c>
      <c r="M45" s="12" t="s">
        <v>29</v>
      </c>
      <c r="N45" s="12" t="s">
        <v>30</v>
      </c>
      <c r="O45" s="37">
        <v>45122.0</v>
      </c>
      <c r="P45" s="17">
        <f t="shared" si="4"/>
        <v>45212</v>
      </c>
      <c r="Q45" s="22">
        <v>46145.0</v>
      </c>
      <c r="R45" s="24" t="s">
        <v>31</v>
      </c>
      <c r="S45" s="18">
        <v>2123500.0</v>
      </c>
      <c r="T45" s="18">
        <v>1061750.0</v>
      </c>
      <c r="U45" s="24" t="s">
        <v>31</v>
      </c>
    </row>
    <row r="46" ht="15.75" customHeight="1">
      <c r="A46" s="16" t="s">
        <v>21</v>
      </c>
      <c r="B46" s="11">
        <v>5123545.0</v>
      </c>
      <c r="C46" s="9" t="s">
        <v>194</v>
      </c>
      <c r="D46" s="17">
        <v>37860.0</v>
      </c>
      <c r="E46" s="7">
        <v>3.143880849E9</v>
      </c>
      <c r="F46" s="11" t="s">
        <v>195</v>
      </c>
      <c r="G46" s="7" t="s">
        <v>196</v>
      </c>
      <c r="H46" s="7">
        <f t="shared" si="3"/>
        <v>23</v>
      </c>
      <c r="I46" s="12" t="s">
        <v>67</v>
      </c>
      <c r="J46" s="7" t="s">
        <v>35</v>
      </c>
      <c r="K46" s="11" t="s">
        <v>36</v>
      </c>
      <c r="L46" s="7" t="s">
        <v>73</v>
      </c>
      <c r="M46" s="12" t="s">
        <v>61</v>
      </c>
      <c r="N46" s="12" t="s">
        <v>62</v>
      </c>
      <c r="O46" s="17">
        <v>44228.0</v>
      </c>
      <c r="P46" s="17">
        <f t="shared" si="4"/>
        <v>44318</v>
      </c>
      <c r="Q46" s="7"/>
      <c r="R46" s="12" t="s">
        <v>39</v>
      </c>
      <c r="S46" s="15" t="s">
        <v>63</v>
      </c>
      <c r="T46" s="15" t="s">
        <v>63</v>
      </c>
      <c r="U46" s="11" t="s">
        <v>197</v>
      </c>
    </row>
    <row r="47" ht="15.75" customHeight="1">
      <c r="A47" s="16" t="s">
        <v>21</v>
      </c>
      <c r="B47" s="11">
        <v>5159330.0</v>
      </c>
      <c r="C47" s="9" t="s">
        <v>198</v>
      </c>
      <c r="D47" s="46">
        <v>29349.0</v>
      </c>
      <c r="E47" s="7">
        <v>3.223682195E9</v>
      </c>
      <c r="F47" s="11" t="s">
        <v>199</v>
      </c>
      <c r="G47" s="7" t="s">
        <v>200</v>
      </c>
      <c r="H47" s="7">
        <f t="shared" si="3"/>
        <v>46</v>
      </c>
      <c r="I47" s="12" t="s">
        <v>67</v>
      </c>
      <c r="J47" s="7" t="s">
        <v>35</v>
      </c>
      <c r="K47" s="11" t="s">
        <v>36</v>
      </c>
      <c r="L47" s="7" t="s">
        <v>28</v>
      </c>
      <c r="M47" s="12" t="s">
        <v>61</v>
      </c>
      <c r="N47" s="12" t="s">
        <v>62</v>
      </c>
      <c r="O47" s="17">
        <v>44483.0</v>
      </c>
      <c r="P47" s="17">
        <f t="shared" si="4"/>
        <v>44573</v>
      </c>
      <c r="Q47" s="7"/>
      <c r="R47" s="12" t="s">
        <v>39</v>
      </c>
      <c r="S47" s="32" t="s">
        <v>63</v>
      </c>
      <c r="T47" s="32" t="s">
        <v>63</v>
      </c>
      <c r="U47" s="11" t="s">
        <v>201</v>
      </c>
    </row>
    <row r="48" ht="15.75" customHeight="1">
      <c r="A48" s="16" t="s">
        <v>50</v>
      </c>
      <c r="B48" s="11">
        <v>1.012432033E9</v>
      </c>
      <c r="C48" s="9" t="s">
        <v>202</v>
      </c>
      <c r="D48" s="17">
        <v>35192.0</v>
      </c>
      <c r="E48" s="7">
        <v>3.103814334E9</v>
      </c>
      <c r="F48" s="11" t="s">
        <v>203</v>
      </c>
      <c r="G48" s="7" t="s">
        <v>204</v>
      </c>
      <c r="H48" s="7">
        <f t="shared" si="3"/>
        <v>30</v>
      </c>
      <c r="I48" s="12" t="s">
        <v>67</v>
      </c>
      <c r="J48" s="7" t="s">
        <v>26</v>
      </c>
      <c r="K48" s="7" t="s">
        <v>27</v>
      </c>
      <c r="L48" s="11" t="s">
        <v>37</v>
      </c>
      <c r="M48" s="36" t="s">
        <v>205</v>
      </c>
      <c r="N48" s="12" t="s">
        <v>30</v>
      </c>
      <c r="O48" s="17">
        <v>44820.0</v>
      </c>
      <c r="P48" s="17">
        <f t="shared" si="4"/>
        <v>44910</v>
      </c>
      <c r="Q48" s="7"/>
      <c r="R48" s="12" t="s">
        <v>39</v>
      </c>
      <c r="S48" s="18">
        <v>2500000.0</v>
      </c>
      <c r="T48" s="18">
        <f>S48/2</f>
        <v>1250000</v>
      </c>
      <c r="U48" s="56" t="s">
        <v>206</v>
      </c>
    </row>
    <row r="49" ht="15.75" hidden="1" customHeight="1">
      <c r="A49" s="39" t="s">
        <v>21</v>
      </c>
      <c r="B49" s="8">
        <v>4578954.0</v>
      </c>
      <c r="C49" s="9" t="s">
        <v>207</v>
      </c>
      <c r="D49" s="20">
        <v>35556.0</v>
      </c>
      <c r="E49" s="7">
        <v>3.213373825E9</v>
      </c>
      <c r="F49" s="11" t="s">
        <v>208</v>
      </c>
      <c r="G49" s="7" t="s">
        <v>184</v>
      </c>
      <c r="H49" s="7">
        <f t="shared" si="3"/>
        <v>29</v>
      </c>
      <c r="I49" s="12" t="s">
        <v>25</v>
      </c>
      <c r="J49" s="7" t="s">
        <v>35</v>
      </c>
      <c r="K49" s="11" t="s">
        <v>36</v>
      </c>
      <c r="L49" s="7" t="s">
        <v>48</v>
      </c>
      <c r="M49" s="12" t="s">
        <v>61</v>
      </c>
      <c r="N49" s="12" t="s">
        <v>62</v>
      </c>
      <c r="O49" s="21">
        <v>43891.0</v>
      </c>
      <c r="P49" s="21">
        <f t="shared" si="4"/>
        <v>43981</v>
      </c>
      <c r="Q49" s="22">
        <v>45934.0</v>
      </c>
      <c r="R49" s="24" t="s">
        <v>31</v>
      </c>
      <c r="S49" s="15" t="s">
        <v>63</v>
      </c>
      <c r="T49" s="15" t="s">
        <v>63</v>
      </c>
      <c r="U49" s="24" t="s">
        <v>31</v>
      </c>
    </row>
    <row r="50" ht="15.75" hidden="1" customHeight="1">
      <c r="A50" s="34" t="s">
        <v>21</v>
      </c>
      <c r="B50" s="8">
        <v>1450260.0</v>
      </c>
      <c r="C50" s="9" t="s">
        <v>209</v>
      </c>
      <c r="D50" s="10">
        <v>35153.0</v>
      </c>
      <c r="E50" s="7">
        <v>3.022643583E9</v>
      </c>
      <c r="F50" s="11" t="s">
        <v>210</v>
      </c>
      <c r="G50" s="7" t="s">
        <v>211</v>
      </c>
      <c r="H50" s="7">
        <f t="shared" si="3"/>
        <v>30</v>
      </c>
      <c r="I50" s="12" t="s">
        <v>67</v>
      </c>
      <c r="J50" s="7" t="s">
        <v>35</v>
      </c>
      <c r="K50" s="7" t="s">
        <v>27</v>
      </c>
      <c r="L50" s="7" t="s">
        <v>73</v>
      </c>
      <c r="M50" s="12" t="s">
        <v>61</v>
      </c>
      <c r="N50" s="12" t="s">
        <v>62</v>
      </c>
      <c r="O50" s="10">
        <v>44696.0</v>
      </c>
      <c r="P50" s="13">
        <f t="shared" si="4"/>
        <v>44786</v>
      </c>
      <c r="Q50" s="13">
        <v>45439.0</v>
      </c>
      <c r="R50" s="14" t="s">
        <v>31</v>
      </c>
      <c r="S50" s="15" t="s">
        <v>63</v>
      </c>
      <c r="T50" s="15" t="s">
        <v>63</v>
      </c>
      <c r="U50" s="14" t="s">
        <v>31</v>
      </c>
    </row>
    <row r="51" ht="15.75" customHeight="1">
      <c r="A51" s="39" t="s">
        <v>21</v>
      </c>
      <c r="B51" s="11">
        <v>5050296.0</v>
      </c>
      <c r="C51" s="9" t="s">
        <v>212</v>
      </c>
      <c r="D51" s="17">
        <v>29697.0</v>
      </c>
      <c r="E51" s="7">
        <v>3.007215427E9</v>
      </c>
      <c r="F51" s="11" t="s">
        <v>213</v>
      </c>
      <c r="G51" s="7" t="s">
        <v>214</v>
      </c>
      <c r="H51" s="7">
        <f t="shared" si="3"/>
        <v>45</v>
      </c>
      <c r="I51" s="12" t="s">
        <v>67</v>
      </c>
      <c r="J51" s="7" t="s">
        <v>35</v>
      </c>
      <c r="K51" s="11" t="s">
        <v>36</v>
      </c>
      <c r="L51" s="7" t="s">
        <v>73</v>
      </c>
      <c r="M51" s="12" t="s">
        <v>61</v>
      </c>
      <c r="N51" s="12" t="s">
        <v>62</v>
      </c>
      <c r="O51" s="17">
        <v>44330.0</v>
      </c>
      <c r="P51" s="17">
        <f t="shared" si="4"/>
        <v>44420</v>
      </c>
      <c r="Q51" s="7"/>
      <c r="R51" s="12" t="s">
        <v>39</v>
      </c>
      <c r="S51" s="15" t="s">
        <v>63</v>
      </c>
      <c r="T51" s="15" t="s">
        <v>63</v>
      </c>
      <c r="U51" s="11" t="s">
        <v>215</v>
      </c>
    </row>
    <row r="52" ht="15.75" customHeight="1">
      <c r="A52" s="39" t="s">
        <v>50</v>
      </c>
      <c r="B52" s="11">
        <v>1.026276767E9</v>
      </c>
      <c r="C52" s="9" t="s">
        <v>216</v>
      </c>
      <c r="D52" s="17">
        <v>33455.0</v>
      </c>
      <c r="E52" s="7">
        <v>3.117063059E9</v>
      </c>
      <c r="F52" s="11" t="s">
        <v>217</v>
      </c>
      <c r="G52" s="11" t="s">
        <v>218</v>
      </c>
      <c r="H52" s="7">
        <f t="shared" si="3"/>
        <v>35</v>
      </c>
      <c r="I52" s="12" t="s">
        <v>67</v>
      </c>
      <c r="J52" s="7" t="s">
        <v>35</v>
      </c>
      <c r="K52" s="11" t="s">
        <v>36</v>
      </c>
      <c r="L52" s="7" t="s">
        <v>73</v>
      </c>
      <c r="M52" s="12" t="s">
        <v>61</v>
      </c>
      <c r="N52" s="12" t="s">
        <v>62</v>
      </c>
      <c r="O52" s="17">
        <v>43877.0</v>
      </c>
      <c r="P52" s="17">
        <f t="shared" si="4"/>
        <v>43967</v>
      </c>
      <c r="Q52" s="7"/>
      <c r="R52" s="12" t="s">
        <v>39</v>
      </c>
      <c r="S52" s="15" t="s">
        <v>63</v>
      </c>
      <c r="T52" s="15" t="s">
        <v>63</v>
      </c>
      <c r="U52" s="11" t="s">
        <v>219</v>
      </c>
    </row>
    <row r="53" ht="15.75" hidden="1" customHeight="1">
      <c r="A53" s="57" t="s">
        <v>115</v>
      </c>
      <c r="B53" s="11">
        <v>2.7691369E7</v>
      </c>
      <c r="C53" s="23" t="s">
        <v>220</v>
      </c>
      <c r="D53" s="17">
        <v>36582.0</v>
      </c>
      <c r="E53" s="11">
        <v>3.134257242E9</v>
      </c>
      <c r="F53" s="11" t="s">
        <v>33</v>
      </c>
      <c r="G53" s="11" t="s">
        <v>221</v>
      </c>
      <c r="H53" s="7">
        <f t="shared" si="3"/>
        <v>26</v>
      </c>
      <c r="I53" s="12" t="s">
        <v>25</v>
      </c>
      <c r="J53" s="7" t="s">
        <v>26</v>
      </c>
      <c r="K53" s="7" t="s">
        <v>89</v>
      </c>
      <c r="L53" s="7" t="s">
        <v>73</v>
      </c>
      <c r="M53" s="12" t="s">
        <v>61</v>
      </c>
      <c r="N53" s="12" t="s">
        <v>62</v>
      </c>
      <c r="O53" s="17">
        <v>44665.0</v>
      </c>
      <c r="P53" s="17">
        <f t="shared" si="4"/>
        <v>44755</v>
      </c>
      <c r="Q53" s="11" t="s">
        <v>222</v>
      </c>
      <c r="R53" s="24" t="s">
        <v>31</v>
      </c>
      <c r="S53" s="15" t="s">
        <v>63</v>
      </c>
      <c r="T53" s="15" t="s">
        <v>63</v>
      </c>
      <c r="U53" s="14" t="s">
        <v>31</v>
      </c>
    </row>
    <row r="54" ht="15.75" hidden="1" customHeight="1">
      <c r="A54" s="16" t="s">
        <v>21</v>
      </c>
      <c r="B54" s="8">
        <v>6553597.0</v>
      </c>
      <c r="C54" s="9" t="s">
        <v>223</v>
      </c>
      <c r="D54" s="20">
        <v>37055.0</v>
      </c>
      <c r="E54" s="7">
        <v>3.223936966E9</v>
      </c>
      <c r="F54" s="11" t="s">
        <v>224</v>
      </c>
      <c r="G54" s="11" t="s">
        <v>225</v>
      </c>
      <c r="H54" s="7">
        <f t="shared" si="3"/>
        <v>25</v>
      </c>
      <c r="I54" s="12" t="s">
        <v>67</v>
      </c>
      <c r="J54" s="11" t="s">
        <v>35</v>
      </c>
      <c r="K54" s="11" t="s">
        <v>36</v>
      </c>
      <c r="L54" s="7" t="s">
        <v>48</v>
      </c>
      <c r="M54" s="12" t="s">
        <v>61</v>
      </c>
      <c r="N54" s="12" t="s">
        <v>62</v>
      </c>
      <c r="O54" s="21">
        <v>44416.0</v>
      </c>
      <c r="P54" s="21">
        <f t="shared" si="4"/>
        <v>44506</v>
      </c>
      <c r="Q54" s="22">
        <v>45965.0</v>
      </c>
      <c r="R54" s="14" t="s">
        <v>31</v>
      </c>
      <c r="S54" s="15" t="s">
        <v>63</v>
      </c>
      <c r="T54" s="15" t="s">
        <v>63</v>
      </c>
      <c r="U54" s="14" t="s">
        <v>31</v>
      </c>
    </row>
    <row r="55" ht="15.75" customHeight="1">
      <c r="A55" s="57" t="s">
        <v>115</v>
      </c>
      <c r="B55" s="11">
        <v>2.6395589E7</v>
      </c>
      <c r="C55" s="58" t="s">
        <v>226</v>
      </c>
      <c r="D55" s="59">
        <v>35928.0</v>
      </c>
      <c r="E55" s="60">
        <v>3.13403388E9</v>
      </c>
      <c r="F55" s="61" t="s">
        <v>227</v>
      </c>
      <c r="G55" s="61" t="s">
        <v>228</v>
      </c>
      <c r="H55" s="60">
        <f t="shared" si="3"/>
        <v>28</v>
      </c>
      <c r="I55" s="62" t="s">
        <v>25</v>
      </c>
      <c r="J55" s="7" t="s">
        <v>26</v>
      </c>
      <c r="K55" s="7" t="s">
        <v>89</v>
      </c>
      <c r="L55" s="7" t="s">
        <v>73</v>
      </c>
      <c r="M55" s="12" t="s">
        <v>61</v>
      </c>
      <c r="N55" s="12" t="s">
        <v>62</v>
      </c>
      <c r="O55" s="59">
        <v>44538.0</v>
      </c>
      <c r="P55" s="59">
        <f t="shared" si="4"/>
        <v>44628</v>
      </c>
      <c r="Q55" s="7"/>
      <c r="R55" s="12" t="s">
        <v>39</v>
      </c>
      <c r="S55" s="15" t="s">
        <v>63</v>
      </c>
      <c r="T55" s="15" t="s">
        <v>63</v>
      </c>
      <c r="U55" s="7" t="s">
        <v>229</v>
      </c>
    </row>
    <row r="56" ht="15.75" hidden="1" customHeight="1">
      <c r="A56" s="16" t="s">
        <v>21</v>
      </c>
      <c r="B56" s="8">
        <v>7184702.0</v>
      </c>
      <c r="C56" s="9" t="s">
        <v>230</v>
      </c>
      <c r="D56" s="20">
        <v>36991.0</v>
      </c>
      <c r="E56" s="7">
        <v>3.219045211E9</v>
      </c>
      <c r="F56" s="11" t="s">
        <v>231</v>
      </c>
      <c r="G56" s="11" t="s">
        <v>232</v>
      </c>
      <c r="H56" s="7">
        <f t="shared" si="3"/>
        <v>25</v>
      </c>
      <c r="I56" s="12" t="s">
        <v>25</v>
      </c>
      <c r="J56" s="11" t="s">
        <v>35</v>
      </c>
      <c r="K56" s="11" t="s">
        <v>36</v>
      </c>
      <c r="L56" s="7" t="s">
        <v>73</v>
      </c>
      <c r="M56" s="12" t="s">
        <v>29</v>
      </c>
      <c r="N56" s="12" t="s">
        <v>30</v>
      </c>
      <c r="O56" s="21">
        <v>44256.0</v>
      </c>
      <c r="P56" s="21">
        <f t="shared" si="4"/>
        <v>44346</v>
      </c>
      <c r="Q56" s="22">
        <v>45965.0</v>
      </c>
      <c r="R56" s="14" t="s">
        <v>31</v>
      </c>
      <c r="S56" s="18">
        <v>2450000.0</v>
      </c>
      <c r="T56" s="18">
        <v>1225000.0</v>
      </c>
      <c r="U56" s="14" t="s">
        <v>31</v>
      </c>
    </row>
    <row r="57" ht="15.75" hidden="1" customHeight="1">
      <c r="A57" s="34" t="s">
        <v>21</v>
      </c>
      <c r="B57" s="8">
        <v>4869553.0</v>
      </c>
      <c r="C57" s="9" t="s">
        <v>233</v>
      </c>
      <c r="D57" s="10">
        <v>35954.0</v>
      </c>
      <c r="E57" s="7">
        <v>3.114990183E9</v>
      </c>
      <c r="F57" s="11" t="s">
        <v>234</v>
      </c>
      <c r="G57" s="7" t="s">
        <v>72</v>
      </c>
      <c r="H57" s="7">
        <f t="shared" si="3"/>
        <v>28</v>
      </c>
      <c r="I57" s="12" t="s">
        <v>25</v>
      </c>
      <c r="J57" s="7" t="s">
        <v>35</v>
      </c>
      <c r="K57" s="7" t="s">
        <v>27</v>
      </c>
      <c r="L57" s="7" t="s">
        <v>73</v>
      </c>
      <c r="M57" s="12" t="s">
        <v>61</v>
      </c>
      <c r="N57" s="12" t="s">
        <v>62</v>
      </c>
      <c r="O57" s="10">
        <v>44253.0</v>
      </c>
      <c r="P57" s="13">
        <f t="shared" si="4"/>
        <v>44343</v>
      </c>
      <c r="Q57" s="13">
        <v>45366.0</v>
      </c>
      <c r="R57" s="14" t="s">
        <v>31</v>
      </c>
      <c r="S57" s="15" t="s">
        <v>63</v>
      </c>
      <c r="T57" s="15" t="s">
        <v>63</v>
      </c>
      <c r="U57" s="14" t="s">
        <v>31</v>
      </c>
    </row>
    <row r="58" ht="15.75" hidden="1" customHeight="1">
      <c r="A58" s="63" t="s">
        <v>50</v>
      </c>
      <c r="B58" s="64">
        <v>1.032472624E9</v>
      </c>
      <c r="C58" s="63" t="s">
        <v>235</v>
      </c>
      <c r="D58" s="65">
        <v>34875.0</v>
      </c>
      <c r="E58" s="63">
        <v>3.22926613E9</v>
      </c>
      <c r="F58" s="66" t="s">
        <v>236</v>
      </c>
      <c r="G58" s="63" t="s">
        <v>237</v>
      </c>
      <c r="H58" s="63">
        <f t="shared" si="3"/>
        <v>31</v>
      </c>
      <c r="I58" s="67" t="s">
        <v>67</v>
      </c>
      <c r="J58" s="7" t="s">
        <v>26</v>
      </c>
      <c r="K58" s="7" t="s">
        <v>27</v>
      </c>
      <c r="L58" s="7" t="s">
        <v>28</v>
      </c>
      <c r="M58" s="12" t="s">
        <v>68</v>
      </c>
      <c r="N58" s="12" t="s">
        <v>30</v>
      </c>
      <c r="O58" s="68">
        <v>45261.0</v>
      </c>
      <c r="P58" s="69">
        <f>O58+60</f>
        <v>45321</v>
      </c>
      <c r="Q58" s="22">
        <v>45301.0</v>
      </c>
      <c r="R58" s="14" t="s">
        <v>31</v>
      </c>
      <c r="S58" s="15">
        <v>1462000.0</v>
      </c>
      <c r="T58" s="15">
        <v>731000.0</v>
      </c>
      <c r="U58" s="14" t="s">
        <v>31</v>
      </c>
    </row>
    <row r="59" ht="15.75" hidden="1" customHeight="1">
      <c r="A59" s="16" t="s">
        <v>50</v>
      </c>
      <c r="B59" s="70">
        <v>1.022356861E9</v>
      </c>
      <c r="C59" s="71" t="s">
        <v>238</v>
      </c>
      <c r="D59" s="72">
        <v>32536.0</v>
      </c>
      <c r="E59" s="73">
        <v>3.004136554E9</v>
      </c>
      <c r="F59" s="74" t="s">
        <v>239</v>
      </c>
      <c r="G59" s="74" t="s">
        <v>193</v>
      </c>
      <c r="H59" s="73">
        <f t="shared" si="3"/>
        <v>37</v>
      </c>
      <c r="I59" s="12" t="s">
        <v>25</v>
      </c>
      <c r="J59" s="11" t="s">
        <v>35</v>
      </c>
      <c r="K59" s="11" t="s">
        <v>36</v>
      </c>
      <c r="L59" s="7" t="s">
        <v>48</v>
      </c>
      <c r="M59" s="12" t="s">
        <v>240</v>
      </c>
      <c r="N59" s="12" t="s">
        <v>30</v>
      </c>
      <c r="O59" s="21">
        <v>44124.0</v>
      </c>
      <c r="P59" s="21">
        <f t="shared" ref="P59:P63" si="5">O59+90</f>
        <v>44214</v>
      </c>
      <c r="Q59" s="22">
        <v>45965.0</v>
      </c>
      <c r="R59" s="14" t="s">
        <v>31</v>
      </c>
      <c r="S59" s="15">
        <v>7000000.0</v>
      </c>
      <c r="T59" s="15">
        <v>3500000.0</v>
      </c>
      <c r="U59" s="14" t="s">
        <v>31</v>
      </c>
    </row>
    <row r="60" ht="15.75" hidden="1" customHeight="1">
      <c r="A60" s="7" t="s">
        <v>21</v>
      </c>
      <c r="B60" s="8">
        <v>6389467.0</v>
      </c>
      <c r="C60" s="9" t="s">
        <v>241</v>
      </c>
      <c r="D60" s="10">
        <v>37566.0</v>
      </c>
      <c r="E60" s="7">
        <v>3.228086564E9</v>
      </c>
      <c r="F60" s="11" t="s">
        <v>242</v>
      </c>
      <c r="G60" s="7" t="s">
        <v>243</v>
      </c>
      <c r="H60" s="7">
        <f t="shared" si="3"/>
        <v>24</v>
      </c>
      <c r="I60" s="12" t="s">
        <v>25</v>
      </c>
      <c r="J60" s="7" t="s">
        <v>35</v>
      </c>
      <c r="K60" s="7" t="s">
        <v>27</v>
      </c>
      <c r="L60" s="7" t="s">
        <v>73</v>
      </c>
      <c r="M60" s="12" t="s">
        <v>61</v>
      </c>
      <c r="N60" s="12" t="s">
        <v>62</v>
      </c>
      <c r="O60" s="10">
        <v>44464.0</v>
      </c>
      <c r="P60" s="13">
        <f t="shared" si="5"/>
        <v>44554</v>
      </c>
      <c r="Q60" s="13">
        <v>45310.0</v>
      </c>
      <c r="R60" s="14" t="s">
        <v>31</v>
      </c>
      <c r="S60" s="15" t="s">
        <v>63</v>
      </c>
      <c r="T60" s="15" t="s">
        <v>63</v>
      </c>
      <c r="U60" s="14" t="s">
        <v>31</v>
      </c>
    </row>
    <row r="61" ht="15.75" hidden="1" customHeight="1">
      <c r="A61" s="75" t="s">
        <v>21</v>
      </c>
      <c r="B61" s="76">
        <v>5066326.0</v>
      </c>
      <c r="C61" s="77" t="s">
        <v>244</v>
      </c>
      <c r="D61" s="78">
        <v>38403.0</v>
      </c>
      <c r="E61" s="77">
        <v>3.206332128E9</v>
      </c>
      <c r="F61" s="76" t="s">
        <v>245</v>
      </c>
      <c r="G61" s="77" t="s">
        <v>246</v>
      </c>
      <c r="H61" s="79">
        <f t="shared" si="3"/>
        <v>21</v>
      </c>
      <c r="I61" s="12" t="s">
        <v>25</v>
      </c>
      <c r="J61" s="7" t="s">
        <v>35</v>
      </c>
      <c r="K61" s="7" t="s">
        <v>27</v>
      </c>
      <c r="L61" s="7" t="s">
        <v>28</v>
      </c>
      <c r="M61" s="12" t="s">
        <v>29</v>
      </c>
      <c r="N61" s="12" t="s">
        <v>30</v>
      </c>
      <c r="O61" s="80">
        <v>45123.0</v>
      </c>
      <c r="P61" s="13">
        <f t="shared" si="5"/>
        <v>45213</v>
      </c>
      <c r="Q61" s="13">
        <v>45382.0</v>
      </c>
      <c r="R61" s="14" t="s">
        <v>31</v>
      </c>
      <c r="S61" s="15">
        <v>1800000.0</v>
      </c>
      <c r="T61" s="15">
        <v>900000.0</v>
      </c>
      <c r="U61" s="14" t="s">
        <v>31</v>
      </c>
    </row>
    <row r="62" ht="15.75" hidden="1" customHeight="1">
      <c r="A62" s="40" t="s">
        <v>115</v>
      </c>
      <c r="B62" s="8">
        <v>1.718878E7</v>
      </c>
      <c r="C62" s="9" t="s">
        <v>247</v>
      </c>
      <c r="D62" s="10">
        <v>31245.0</v>
      </c>
      <c r="E62" s="7">
        <v>3.028238728E9</v>
      </c>
      <c r="F62" s="11" t="s">
        <v>248</v>
      </c>
      <c r="G62" s="7" t="s">
        <v>249</v>
      </c>
      <c r="H62" s="7">
        <f t="shared" si="3"/>
        <v>41</v>
      </c>
      <c r="I62" s="12" t="s">
        <v>67</v>
      </c>
      <c r="J62" s="7" t="s">
        <v>26</v>
      </c>
      <c r="K62" s="7" t="s">
        <v>89</v>
      </c>
      <c r="L62" s="7" t="s">
        <v>48</v>
      </c>
      <c r="M62" s="12" t="s">
        <v>61</v>
      </c>
      <c r="N62" s="12" t="s">
        <v>62</v>
      </c>
      <c r="O62" s="10">
        <v>44792.0</v>
      </c>
      <c r="P62" s="13">
        <f t="shared" si="5"/>
        <v>44882</v>
      </c>
      <c r="Q62" s="13">
        <v>45459.0</v>
      </c>
      <c r="R62" s="14" t="s">
        <v>31</v>
      </c>
      <c r="S62" s="15" t="s">
        <v>63</v>
      </c>
      <c r="T62" s="15" t="s">
        <v>63</v>
      </c>
      <c r="U62" s="14" t="s">
        <v>31</v>
      </c>
    </row>
    <row r="63" ht="15.75" hidden="1" customHeight="1">
      <c r="A63" s="7" t="s">
        <v>21</v>
      </c>
      <c r="B63" s="81" t="s">
        <v>250</v>
      </c>
      <c r="C63" s="71" t="s">
        <v>251</v>
      </c>
      <c r="D63" s="72">
        <v>30741.0</v>
      </c>
      <c r="E63" s="74">
        <v>3.044315116E9</v>
      </c>
      <c r="F63" s="74" t="s">
        <v>252</v>
      </c>
      <c r="G63" s="73" t="s">
        <v>92</v>
      </c>
      <c r="H63" s="73">
        <f t="shared" si="3"/>
        <v>42</v>
      </c>
      <c r="I63" s="12" t="s">
        <v>67</v>
      </c>
      <c r="J63" s="11" t="s">
        <v>35</v>
      </c>
      <c r="K63" s="11" t="s">
        <v>36</v>
      </c>
      <c r="L63" s="7" t="s">
        <v>48</v>
      </c>
      <c r="M63" s="12" t="s">
        <v>61</v>
      </c>
      <c r="N63" s="12" t="s">
        <v>62</v>
      </c>
      <c r="O63" s="21">
        <v>44139.0</v>
      </c>
      <c r="P63" s="21">
        <f t="shared" si="5"/>
        <v>44229</v>
      </c>
      <c r="Q63" s="22">
        <v>45965.0</v>
      </c>
      <c r="R63" s="14" t="s">
        <v>31</v>
      </c>
      <c r="S63" s="15" t="s">
        <v>63</v>
      </c>
      <c r="T63" s="15" t="s">
        <v>63</v>
      </c>
      <c r="U63" s="14" t="s">
        <v>31</v>
      </c>
    </row>
    <row r="64" ht="15.75" customHeight="1">
      <c r="B64" s="82"/>
      <c r="P64" s="83"/>
    </row>
    <row r="65" ht="15.75" customHeight="1">
      <c r="B65" s="82"/>
      <c r="P65" s="83"/>
    </row>
    <row r="66" ht="15.75" customHeight="1">
      <c r="B66" s="82"/>
      <c r="P66" s="83"/>
    </row>
    <row r="67" ht="15.75" customHeight="1">
      <c r="B67" s="82"/>
      <c r="P67" s="83"/>
    </row>
    <row r="68" ht="15.75" customHeight="1">
      <c r="B68" s="82"/>
      <c r="P68" s="83"/>
    </row>
    <row r="69" ht="15.75" customHeight="1">
      <c r="B69" s="82"/>
      <c r="P69" s="83"/>
    </row>
    <row r="70" ht="15.75" customHeight="1">
      <c r="B70" s="82"/>
      <c r="P70" s="83"/>
    </row>
    <row r="71" ht="15.75" customHeight="1">
      <c r="B71" s="82"/>
      <c r="P71" s="83"/>
    </row>
    <row r="72" ht="15.75" customHeight="1">
      <c r="B72" s="82"/>
      <c r="P72" s="83"/>
    </row>
    <row r="73" ht="15.75" customHeight="1">
      <c r="B73" s="82"/>
      <c r="P73" s="83"/>
    </row>
    <row r="74" ht="15.75" customHeight="1">
      <c r="B74" s="82"/>
      <c r="P74" s="83"/>
    </row>
    <row r="75" ht="15.75" customHeight="1">
      <c r="B75" s="82"/>
      <c r="P75" s="83"/>
    </row>
    <row r="76" ht="15.75" customHeight="1">
      <c r="B76" s="82"/>
      <c r="P76" s="83"/>
    </row>
    <row r="77" ht="15.75" customHeight="1">
      <c r="B77" s="82"/>
      <c r="P77" s="83"/>
    </row>
    <row r="78" ht="15.75" customHeight="1">
      <c r="B78" s="82"/>
      <c r="P78" s="83"/>
    </row>
    <row r="79" ht="15.75" customHeight="1">
      <c r="B79" s="82"/>
      <c r="P79" s="83"/>
    </row>
    <row r="80" ht="15.75" customHeight="1">
      <c r="B80" s="82"/>
      <c r="P80" s="83"/>
    </row>
    <row r="81" ht="15.75" customHeight="1">
      <c r="B81" s="82"/>
      <c r="P81" s="83"/>
    </row>
    <row r="82" ht="15.75" customHeight="1">
      <c r="B82" s="82"/>
      <c r="P82" s="83"/>
    </row>
    <row r="83" ht="15.75" customHeight="1">
      <c r="B83" s="82"/>
      <c r="P83" s="83"/>
    </row>
    <row r="84" ht="15.75" customHeight="1">
      <c r="B84" s="82"/>
      <c r="P84" s="83"/>
    </row>
    <row r="85" ht="15.75" customHeight="1">
      <c r="B85" s="82"/>
      <c r="P85" s="83"/>
    </row>
    <row r="86" ht="15.75" customHeight="1">
      <c r="B86" s="82"/>
      <c r="P86" s="83"/>
    </row>
    <row r="87" ht="15.75" customHeight="1">
      <c r="B87" s="82"/>
      <c r="P87" s="83"/>
    </row>
    <row r="88" ht="15.75" customHeight="1">
      <c r="B88" s="82"/>
      <c r="P88" s="83"/>
    </row>
    <row r="89" ht="15.75" customHeight="1">
      <c r="B89" s="82"/>
      <c r="F89" s="84"/>
      <c r="P89" s="83"/>
    </row>
    <row r="90" ht="15.75" customHeight="1">
      <c r="B90" s="82"/>
      <c r="P90" s="83"/>
    </row>
    <row r="91" ht="15.75" customHeight="1">
      <c r="B91" s="82"/>
      <c r="P91" s="83"/>
    </row>
    <row r="92" ht="15.75" customHeight="1">
      <c r="B92" s="82"/>
      <c r="P92" s="83"/>
    </row>
    <row r="93" ht="15.75" customHeight="1">
      <c r="B93" s="82"/>
      <c r="P93" s="83"/>
    </row>
    <row r="94" ht="15.75" customHeight="1">
      <c r="B94" s="82"/>
      <c r="P94" s="83"/>
    </row>
    <row r="95" ht="15.75" customHeight="1">
      <c r="B95" s="82"/>
      <c r="P95" s="83"/>
    </row>
    <row r="96" ht="15.75" customHeight="1">
      <c r="B96" s="82"/>
      <c r="P96" s="83"/>
    </row>
    <row r="97" ht="15.75" customHeight="1">
      <c r="B97" s="82"/>
      <c r="P97" s="83"/>
    </row>
    <row r="98" ht="15.75" customHeight="1">
      <c r="B98" s="82"/>
      <c r="P98" s="83"/>
    </row>
    <row r="99" ht="15.75" customHeight="1">
      <c r="B99" s="82"/>
      <c r="P99" s="83"/>
    </row>
    <row r="100" ht="15.75" customHeight="1">
      <c r="B100" s="82"/>
      <c r="P100" s="83"/>
    </row>
    <row r="101" ht="15.75" customHeight="1">
      <c r="B101" s="82"/>
      <c r="P101" s="83"/>
    </row>
    <row r="102" ht="15.75" customHeight="1">
      <c r="B102" s="82"/>
      <c r="P102" s="83"/>
    </row>
    <row r="103" ht="15.75" customHeight="1">
      <c r="B103" s="82"/>
      <c r="P103" s="83"/>
    </row>
    <row r="104" ht="15.75" customHeight="1">
      <c r="B104" s="82"/>
      <c r="P104" s="83"/>
    </row>
    <row r="105" ht="15.75" customHeight="1">
      <c r="B105" s="82"/>
      <c r="P105" s="83"/>
    </row>
    <row r="106" ht="15.75" customHeight="1">
      <c r="B106" s="82"/>
      <c r="P106" s="83"/>
    </row>
    <row r="107" ht="15.75" customHeight="1">
      <c r="B107" s="82"/>
      <c r="P107" s="83"/>
    </row>
    <row r="108" ht="15.75" customHeight="1">
      <c r="B108" s="82"/>
      <c r="P108" s="83"/>
    </row>
    <row r="109" ht="15.75" customHeight="1">
      <c r="B109" s="82"/>
      <c r="P109" s="83"/>
    </row>
    <row r="110" ht="15.75" customHeight="1">
      <c r="B110" s="82"/>
      <c r="P110" s="83"/>
    </row>
    <row r="111" ht="15.75" customHeight="1">
      <c r="B111" s="82"/>
      <c r="P111" s="83"/>
    </row>
    <row r="112" ht="15.75" customHeight="1">
      <c r="B112" s="82"/>
      <c r="P112" s="83"/>
    </row>
    <row r="113" ht="15.75" customHeight="1">
      <c r="B113" s="82"/>
      <c r="P113" s="83"/>
    </row>
    <row r="114" ht="15.75" customHeight="1">
      <c r="B114" s="82"/>
      <c r="P114" s="83"/>
    </row>
    <row r="115" ht="15.75" customHeight="1">
      <c r="B115" s="82"/>
      <c r="P115" s="83"/>
    </row>
    <row r="116" ht="15.75" customHeight="1">
      <c r="B116" s="82"/>
      <c r="P116" s="83"/>
    </row>
    <row r="117" ht="15.75" customHeight="1">
      <c r="B117" s="82"/>
      <c r="P117" s="83"/>
    </row>
    <row r="118" ht="15.75" customHeight="1">
      <c r="B118" s="82"/>
      <c r="P118" s="83"/>
    </row>
    <row r="119" ht="15.75" customHeight="1">
      <c r="B119" s="82"/>
      <c r="P119" s="83"/>
    </row>
    <row r="120" ht="15.75" customHeight="1">
      <c r="B120" s="82"/>
      <c r="P120" s="83"/>
    </row>
    <row r="121" ht="15.75" customHeight="1">
      <c r="B121" s="82"/>
      <c r="P121" s="83"/>
    </row>
    <row r="122" ht="15.75" customHeight="1">
      <c r="B122" s="82"/>
      <c r="P122" s="83"/>
    </row>
    <row r="123" ht="15.75" customHeight="1">
      <c r="B123" s="82"/>
      <c r="P123" s="83"/>
    </row>
    <row r="124" ht="15.75" customHeight="1">
      <c r="B124" s="82"/>
      <c r="P124" s="83"/>
    </row>
    <row r="125" ht="15.75" customHeight="1">
      <c r="B125" s="82"/>
      <c r="P125" s="83"/>
    </row>
    <row r="126" ht="15.75" customHeight="1">
      <c r="B126" s="82"/>
      <c r="P126" s="83"/>
    </row>
    <row r="127" ht="15.75" customHeight="1">
      <c r="B127" s="82"/>
      <c r="P127" s="83"/>
    </row>
    <row r="128" ht="15.75" customHeight="1">
      <c r="B128" s="82"/>
      <c r="P128" s="83"/>
    </row>
    <row r="129" ht="15.75" customHeight="1">
      <c r="B129" s="82"/>
      <c r="P129" s="83"/>
    </row>
    <row r="130" ht="15.75" customHeight="1">
      <c r="B130" s="82"/>
      <c r="P130" s="83"/>
    </row>
    <row r="131" ht="15.75" customHeight="1">
      <c r="B131" s="82"/>
      <c r="P131" s="83"/>
    </row>
    <row r="132" ht="15.75" customHeight="1">
      <c r="B132" s="82"/>
      <c r="P132" s="83"/>
    </row>
    <row r="133" ht="15.75" customHeight="1">
      <c r="B133" s="82"/>
      <c r="P133" s="83"/>
    </row>
    <row r="134" ht="15.75" customHeight="1">
      <c r="B134" s="82"/>
      <c r="P134" s="83"/>
    </row>
    <row r="135" ht="15.75" customHeight="1">
      <c r="B135" s="82"/>
      <c r="P135" s="83"/>
    </row>
    <row r="136" ht="15.75" customHeight="1">
      <c r="B136" s="82"/>
      <c r="P136" s="83"/>
    </row>
    <row r="137" ht="15.75" customHeight="1">
      <c r="B137" s="82"/>
      <c r="P137" s="83"/>
    </row>
    <row r="138" ht="15.75" customHeight="1">
      <c r="B138" s="82"/>
      <c r="P138" s="83"/>
    </row>
    <row r="139" ht="15.75" customHeight="1">
      <c r="B139" s="82"/>
      <c r="P139" s="83"/>
    </row>
    <row r="140" ht="15.75" customHeight="1">
      <c r="B140" s="82"/>
      <c r="P140" s="83"/>
    </row>
    <row r="141" ht="15.75" customHeight="1">
      <c r="B141" s="82"/>
      <c r="P141" s="83"/>
    </row>
    <row r="142" ht="15.75" customHeight="1">
      <c r="B142" s="82"/>
      <c r="P142" s="83"/>
    </row>
    <row r="143" ht="15.75" customHeight="1">
      <c r="B143" s="82"/>
      <c r="P143" s="83"/>
    </row>
    <row r="144" ht="15.75" customHeight="1">
      <c r="B144" s="82"/>
      <c r="P144" s="83"/>
    </row>
    <row r="145" ht="15.75" customHeight="1">
      <c r="B145" s="82"/>
      <c r="P145" s="83"/>
    </row>
    <row r="146" ht="15.75" customHeight="1">
      <c r="B146" s="82"/>
      <c r="P146" s="83"/>
    </row>
    <row r="147" ht="15.75" customHeight="1">
      <c r="B147" s="82"/>
      <c r="P147" s="83"/>
    </row>
    <row r="148" ht="15.75" customHeight="1">
      <c r="B148" s="82"/>
      <c r="P148" s="83"/>
    </row>
    <row r="149" ht="15.75" customHeight="1">
      <c r="B149" s="82"/>
      <c r="P149" s="83"/>
    </row>
    <row r="150" ht="15.75" customHeight="1">
      <c r="B150" s="82"/>
      <c r="P150" s="83"/>
    </row>
    <row r="151" ht="15.75" customHeight="1">
      <c r="B151" s="82"/>
      <c r="P151" s="83"/>
    </row>
    <row r="152" ht="15.75" customHeight="1">
      <c r="B152" s="82"/>
      <c r="P152" s="83"/>
    </row>
    <row r="153" ht="15.75" customHeight="1">
      <c r="B153" s="82"/>
      <c r="P153" s="83"/>
    </row>
    <row r="154" ht="15.75" customHeight="1">
      <c r="B154" s="82"/>
      <c r="P154" s="83"/>
    </row>
    <row r="155" ht="15.75" customHeight="1">
      <c r="B155" s="82"/>
      <c r="P155" s="83"/>
    </row>
    <row r="156" ht="15.75" customHeight="1">
      <c r="B156" s="82"/>
      <c r="P156" s="83"/>
    </row>
    <row r="157" ht="15.75" customHeight="1">
      <c r="B157" s="82"/>
      <c r="P157" s="83"/>
    </row>
    <row r="158" ht="15.75" customHeight="1">
      <c r="B158" s="82"/>
      <c r="P158" s="83"/>
    </row>
    <row r="159" ht="15.75" customHeight="1">
      <c r="B159" s="82"/>
      <c r="P159" s="83"/>
    </row>
    <row r="160" ht="15.75" customHeight="1">
      <c r="B160" s="82"/>
      <c r="P160" s="83"/>
    </row>
    <row r="161" ht="15.75" customHeight="1">
      <c r="B161" s="82"/>
      <c r="P161" s="83"/>
    </row>
    <row r="162" ht="15.75" customHeight="1">
      <c r="B162" s="82"/>
      <c r="P162" s="83"/>
    </row>
    <row r="163" ht="15.75" customHeight="1">
      <c r="B163" s="82"/>
      <c r="P163" s="83"/>
    </row>
    <row r="164" ht="15.75" customHeight="1">
      <c r="B164" s="82"/>
      <c r="P164" s="83"/>
    </row>
    <row r="165" ht="15.75" customHeight="1">
      <c r="B165" s="82"/>
      <c r="P165" s="83"/>
    </row>
    <row r="166" ht="15.75" customHeight="1">
      <c r="B166" s="82"/>
      <c r="P166" s="83"/>
    </row>
    <row r="167" ht="15.75" customHeight="1">
      <c r="B167" s="82"/>
      <c r="P167" s="83"/>
    </row>
    <row r="168" ht="15.75" customHeight="1">
      <c r="B168" s="82"/>
      <c r="P168" s="83"/>
    </row>
    <row r="169" ht="15.75" customHeight="1">
      <c r="B169" s="82"/>
      <c r="P169" s="83"/>
    </row>
    <row r="170" ht="15.75" customHeight="1">
      <c r="B170" s="82"/>
      <c r="P170" s="83"/>
    </row>
    <row r="171" ht="15.75" customHeight="1">
      <c r="B171" s="82"/>
      <c r="P171" s="83"/>
    </row>
    <row r="172" ht="15.75" customHeight="1">
      <c r="B172" s="82"/>
      <c r="P172" s="83"/>
    </row>
    <row r="173" ht="15.75" customHeight="1">
      <c r="B173" s="82"/>
      <c r="P173" s="83"/>
    </row>
    <row r="174" ht="15.75" customHeight="1">
      <c r="B174" s="82"/>
      <c r="P174" s="83"/>
    </row>
    <row r="175" ht="15.75" customHeight="1">
      <c r="B175" s="82"/>
      <c r="P175" s="83"/>
    </row>
    <row r="176" ht="15.75" customHeight="1">
      <c r="B176" s="82"/>
      <c r="P176" s="83"/>
    </row>
    <row r="177" ht="15.75" customHeight="1">
      <c r="B177" s="82"/>
      <c r="P177" s="83"/>
    </row>
    <row r="178" ht="15.75" customHeight="1">
      <c r="B178" s="82"/>
      <c r="P178" s="83"/>
    </row>
    <row r="179" ht="15.75" customHeight="1">
      <c r="B179" s="82"/>
      <c r="P179" s="83"/>
    </row>
    <row r="180" ht="15.75" customHeight="1">
      <c r="B180" s="82"/>
      <c r="P180" s="83"/>
    </row>
    <row r="181" ht="15.75" customHeight="1">
      <c r="B181" s="82"/>
      <c r="P181" s="83"/>
    </row>
    <row r="182" ht="15.75" customHeight="1">
      <c r="B182" s="82"/>
      <c r="P182" s="83"/>
    </row>
    <row r="183" ht="15.75" customHeight="1">
      <c r="B183" s="82"/>
      <c r="P183" s="83"/>
    </row>
    <row r="184" ht="15.75" customHeight="1">
      <c r="B184" s="82"/>
      <c r="P184" s="83"/>
    </row>
    <row r="185" ht="15.75" customHeight="1">
      <c r="B185" s="82"/>
      <c r="P185" s="83"/>
    </row>
    <row r="186" ht="15.75" customHeight="1">
      <c r="B186" s="82"/>
      <c r="P186" s="83"/>
    </row>
    <row r="187" ht="15.75" customHeight="1">
      <c r="B187" s="82"/>
      <c r="P187" s="83"/>
    </row>
    <row r="188" ht="15.75" customHeight="1">
      <c r="B188" s="82"/>
      <c r="P188" s="83"/>
    </row>
    <row r="189" ht="15.75" customHeight="1">
      <c r="B189" s="82"/>
      <c r="P189" s="83"/>
    </row>
    <row r="190" ht="15.75" customHeight="1">
      <c r="B190" s="82"/>
      <c r="P190" s="83"/>
    </row>
    <row r="191" ht="15.75" customHeight="1">
      <c r="B191" s="82"/>
      <c r="P191" s="83"/>
    </row>
    <row r="192" ht="15.75" customHeight="1">
      <c r="B192" s="82"/>
      <c r="P192" s="83"/>
    </row>
    <row r="193" ht="15.75" customHeight="1">
      <c r="B193" s="82"/>
      <c r="P193" s="83"/>
    </row>
    <row r="194" ht="15.75" customHeight="1">
      <c r="B194" s="82"/>
      <c r="P194" s="83"/>
    </row>
    <row r="195" ht="15.75" customHeight="1">
      <c r="B195" s="82"/>
      <c r="P195" s="83"/>
    </row>
    <row r="196" ht="15.75" customHeight="1">
      <c r="B196" s="82"/>
      <c r="P196" s="83"/>
    </row>
    <row r="197" ht="15.75" customHeight="1">
      <c r="B197" s="82"/>
      <c r="P197" s="83"/>
    </row>
    <row r="198" ht="15.75" customHeight="1">
      <c r="B198" s="82"/>
      <c r="P198" s="83"/>
    </row>
    <row r="199" ht="15.75" customHeight="1">
      <c r="B199" s="82"/>
      <c r="P199" s="83"/>
    </row>
    <row r="200" ht="15.75" customHeight="1">
      <c r="B200" s="82"/>
      <c r="P200" s="83"/>
    </row>
    <row r="201" ht="15.75" customHeight="1">
      <c r="B201" s="82"/>
      <c r="P201" s="83"/>
    </row>
    <row r="202" ht="15.75" customHeight="1">
      <c r="B202" s="82"/>
      <c r="P202" s="83"/>
    </row>
    <row r="203" ht="15.75" customHeight="1">
      <c r="B203" s="82"/>
      <c r="P203" s="83"/>
    </row>
    <row r="204" ht="15.75" customHeight="1">
      <c r="B204" s="82"/>
      <c r="P204" s="83"/>
    </row>
    <row r="205" ht="15.75" customHeight="1">
      <c r="B205" s="82"/>
      <c r="P205" s="83"/>
    </row>
    <row r="206" ht="15.75" customHeight="1">
      <c r="B206" s="82"/>
      <c r="P206" s="83"/>
    </row>
    <row r="207" ht="15.75" customHeight="1">
      <c r="B207" s="82"/>
      <c r="P207" s="83"/>
    </row>
    <row r="208" ht="15.75" customHeight="1">
      <c r="B208" s="82"/>
      <c r="P208" s="83"/>
    </row>
    <row r="209" ht="15.75" customHeight="1">
      <c r="B209" s="82"/>
      <c r="P209" s="83"/>
    </row>
    <row r="210" ht="15.75" customHeight="1">
      <c r="B210" s="82"/>
      <c r="P210" s="83"/>
    </row>
    <row r="211" ht="15.75" customHeight="1">
      <c r="B211" s="82"/>
      <c r="P211" s="83"/>
    </row>
    <row r="212" ht="15.75" customHeight="1">
      <c r="B212" s="82"/>
      <c r="P212" s="83"/>
    </row>
    <row r="213" ht="15.75" customHeight="1">
      <c r="B213" s="82"/>
      <c r="P213" s="83"/>
    </row>
    <row r="214" ht="15.75" customHeight="1">
      <c r="B214" s="82"/>
      <c r="P214" s="83"/>
    </row>
    <row r="215" ht="15.75" customHeight="1">
      <c r="B215" s="82"/>
      <c r="P215" s="83"/>
    </row>
    <row r="216" ht="15.75" customHeight="1">
      <c r="B216" s="82"/>
      <c r="P216" s="83"/>
    </row>
    <row r="217" ht="15.75" customHeight="1">
      <c r="B217" s="82"/>
      <c r="P217" s="83"/>
    </row>
    <row r="218" ht="15.75" customHeight="1">
      <c r="B218" s="82"/>
      <c r="P218" s="83"/>
    </row>
    <row r="219" ht="15.75" customHeight="1">
      <c r="B219" s="82"/>
      <c r="P219" s="83"/>
    </row>
    <row r="220" ht="15.75" customHeight="1">
      <c r="B220" s="82"/>
      <c r="P220" s="83"/>
    </row>
    <row r="221" ht="15.75" customHeight="1">
      <c r="B221" s="82"/>
      <c r="P221" s="83"/>
    </row>
    <row r="222" ht="15.75" customHeight="1">
      <c r="B222" s="82"/>
      <c r="P222" s="83"/>
    </row>
    <row r="223" ht="15.75" customHeight="1">
      <c r="B223" s="82"/>
      <c r="P223" s="83"/>
    </row>
    <row r="224" ht="15.75" customHeight="1">
      <c r="B224" s="82"/>
      <c r="P224" s="83"/>
    </row>
    <row r="225" ht="15.75" customHeight="1">
      <c r="B225" s="82"/>
      <c r="P225" s="83"/>
    </row>
    <row r="226" ht="15.75" customHeight="1">
      <c r="B226" s="82"/>
      <c r="P226" s="83"/>
    </row>
    <row r="227" ht="15.75" customHeight="1">
      <c r="B227" s="82"/>
      <c r="P227" s="83"/>
    </row>
    <row r="228" ht="15.75" customHeight="1">
      <c r="B228" s="82"/>
      <c r="P228" s="83"/>
    </row>
    <row r="229" ht="15.75" customHeight="1">
      <c r="B229" s="82"/>
      <c r="P229" s="83"/>
    </row>
    <row r="230" ht="15.75" customHeight="1">
      <c r="B230" s="82"/>
      <c r="P230" s="83"/>
    </row>
    <row r="231" ht="15.75" customHeight="1">
      <c r="B231" s="82"/>
      <c r="P231" s="83"/>
    </row>
    <row r="232" ht="15.75" customHeight="1">
      <c r="B232" s="82"/>
      <c r="P232" s="83"/>
    </row>
    <row r="233" ht="15.75" customHeight="1">
      <c r="B233" s="82"/>
      <c r="P233" s="83"/>
    </row>
    <row r="234" ht="15.75" customHeight="1">
      <c r="B234" s="82"/>
      <c r="P234" s="83"/>
    </row>
    <row r="235" ht="15.75" customHeight="1">
      <c r="B235" s="82"/>
      <c r="P235" s="83"/>
    </row>
    <row r="236" ht="15.75" customHeight="1">
      <c r="B236" s="82"/>
      <c r="P236" s="83"/>
    </row>
    <row r="237" ht="15.75" customHeight="1">
      <c r="B237" s="82"/>
      <c r="P237" s="83"/>
    </row>
    <row r="238" ht="15.75" customHeight="1">
      <c r="B238" s="82"/>
      <c r="P238" s="83"/>
    </row>
    <row r="239" ht="15.75" customHeight="1">
      <c r="B239" s="82"/>
      <c r="P239" s="83"/>
    </row>
    <row r="240" ht="15.75" customHeight="1">
      <c r="B240" s="82"/>
      <c r="P240" s="83"/>
    </row>
    <row r="241" ht="15.75" customHeight="1">
      <c r="B241" s="82"/>
      <c r="P241" s="83"/>
    </row>
    <row r="242" ht="15.75" customHeight="1">
      <c r="B242" s="82"/>
      <c r="P242" s="83"/>
    </row>
    <row r="243" ht="15.75" customHeight="1">
      <c r="B243" s="82"/>
      <c r="P243" s="83"/>
    </row>
    <row r="244" ht="15.75" customHeight="1">
      <c r="B244" s="82"/>
      <c r="P244" s="83"/>
    </row>
    <row r="245" ht="15.75" customHeight="1">
      <c r="B245" s="82"/>
      <c r="P245" s="83"/>
    </row>
    <row r="246" ht="15.75" customHeight="1">
      <c r="B246" s="82"/>
      <c r="P246" s="83"/>
    </row>
    <row r="247" ht="15.75" customHeight="1">
      <c r="B247" s="82"/>
      <c r="P247" s="83"/>
    </row>
    <row r="248" ht="15.75" customHeight="1">
      <c r="B248" s="82"/>
      <c r="P248" s="83"/>
    </row>
    <row r="249" ht="15.75" customHeight="1">
      <c r="B249" s="82"/>
      <c r="P249" s="83"/>
    </row>
    <row r="250" ht="15.75" customHeight="1">
      <c r="B250" s="82"/>
      <c r="P250" s="83"/>
    </row>
    <row r="251" ht="15.75" customHeight="1">
      <c r="B251" s="82"/>
      <c r="P251" s="83"/>
    </row>
    <row r="252" ht="15.75" customHeight="1">
      <c r="B252" s="82"/>
      <c r="P252" s="83"/>
    </row>
    <row r="253" ht="15.75" customHeight="1">
      <c r="B253" s="82"/>
      <c r="P253" s="83"/>
    </row>
    <row r="254" ht="15.75" customHeight="1">
      <c r="B254" s="82"/>
      <c r="P254" s="83"/>
    </row>
    <row r="255" ht="15.75" customHeight="1">
      <c r="B255" s="82"/>
      <c r="P255" s="83"/>
    </row>
    <row r="256" ht="15.75" customHeight="1">
      <c r="B256" s="82"/>
      <c r="P256" s="83"/>
    </row>
    <row r="257" ht="15.75" customHeight="1">
      <c r="B257" s="82"/>
      <c r="P257" s="83"/>
    </row>
    <row r="258" ht="15.75" customHeight="1">
      <c r="B258" s="82"/>
      <c r="P258" s="83"/>
    </row>
    <row r="259" ht="15.75" customHeight="1">
      <c r="B259" s="82"/>
      <c r="P259" s="83"/>
    </row>
    <row r="260" ht="15.75" customHeight="1">
      <c r="B260" s="82"/>
      <c r="P260" s="83"/>
    </row>
    <row r="261" ht="15.75" customHeight="1">
      <c r="P261" s="83"/>
    </row>
    <row r="262" ht="15.75" customHeight="1">
      <c r="P262" s="83"/>
    </row>
    <row r="263" ht="15.75" customHeight="1">
      <c r="P263" s="83"/>
    </row>
    <row r="264" ht="15.75" customHeight="1">
      <c r="P264" s="83"/>
    </row>
    <row r="265" ht="15.75" customHeight="1">
      <c r="P265" s="83"/>
    </row>
    <row r="266" ht="15.75" customHeight="1">
      <c r="P266" s="83"/>
    </row>
    <row r="267" ht="15.75" customHeight="1">
      <c r="P267" s="83"/>
    </row>
    <row r="268" ht="15.75" customHeight="1">
      <c r="P268" s="83"/>
    </row>
    <row r="269" ht="15.75" customHeight="1">
      <c r="P269" s="83"/>
    </row>
    <row r="270" ht="15.75" customHeight="1">
      <c r="P270" s="83"/>
    </row>
    <row r="271" ht="15.75" customHeight="1">
      <c r="P271" s="83"/>
    </row>
    <row r="272" ht="15.75" customHeight="1">
      <c r="P272" s="83"/>
    </row>
    <row r="273" ht="15.75" customHeight="1">
      <c r="P273" s="83"/>
    </row>
    <row r="274" ht="15.75" customHeight="1">
      <c r="P274" s="83"/>
    </row>
    <row r="275" ht="15.75" customHeight="1">
      <c r="P275" s="83"/>
    </row>
    <row r="276" ht="15.75" customHeight="1">
      <c r="P276" s="83"/>
    </row>
    <row r="277" ht="15.75" customHeight="1">
      <c r="P277" s="83"/>
    </row>
    <row r="278" ht="15.75" customHeight="1">
      <c r="P278" s="83"/>
    </row>
    <row r="279" ht="15.75" customHeight="1">
      <c r="P279" s="83"/>
    </row>
    <row r="280" ht="15.75" customHeight="1">
      <c r="P280" s="83"/>
    </row>
    <row r="281" ht="15.75" customHeight="1">
      <c r="P281" s="83"/>
    </row>
    <row r="282" ht="15.75" customHeight="1">
      <c r="P282" s="83"/>
    </row>
    <row r="283" ht="15.75" customHeight="1">
      <c r="P283" s="83"/>
    </row>
    <row r="284" ht="15.75" customHeight="1">
      <c r="P284" s="83"/>
    </row>
    <row r="285" ht="15.75" customHeight="1">
      <c r="P285" s="83"/>
    </row>
    <row r="286" ht="15.75" customHeight="1">
      <c r="P286" s="83"/>
    </row>
    <row r="287" ht="15.75" customHeight="1">
      <c r="P287" s="83"/>
    </row>
    <row r="288" ht="15.75" customHeight="1">
      <c r="P288" s="83"/>
    </row>
    <row r="289" ht="15.75" customHeight="1">
      <c r="P289" s="83"/>
    </row>
    <row r="290" ht="15.75" customHeight="1">
      <c r="P290" s="83"/>
    </row>
    <row r="291" ht="15.75" customHeight="1">
      <c r="P291" s="83"/>
    </row>
    <row r="292" ht="15.75" customHeight="1">
      <c r="P292" s="83"/>
    </row>
    <row r="293" ht="15.75" customHeight="1">
      <c r="P293" s="83"/>
    </row>
    <row r="294" ht="15.75" customHeight="1">
      <c r="P294" s="83"/>
    </row>
    <row r="295" ht="15.75" customHeight="1">
      <c r="P295" s="83"/>
    </row>
    <row r="296" ht="15.75" customHeight="1">
      <c r="P296" s="83"/>
    </row>
    <row r="297" ht="15.75" customHeight="1">
      <c r="P297" s="83"/>
    </row>
    <row r="298" ht="15.75" customHeight="1">
      <c r="P298" s="83"/>
    </row>
    <row r="299" ht="15.75" customHeight="1">
      <c r="P299" s="83"/>
    </row>
    <row r="300" ht="15.75" customHeight="1">
      <c r="P300" s="83"/>
    </row>
    <row r="301" ht="15.75" customHeight="1">
      <c r="P301" s="83"/>
    </row>
    <row r="302" ht="15.75" customHeight="1">
      <c r="P302" s="83"/>
    </row>
    <row r="303" ht="15.75" customHeight="1">
      <c r="P303" s="83"/>
    </row>
    <row r="304" ht="15.75" customHeight="1">
      <c r="P304" s="83"/>
    </row>
    <row r="305" ht="15.75" customHeight="1">
      <c r="P305" s="83"/>
    </row>
    <row r="306" ht="15.75" customHeight="1">
      <c r="P306" s="83"/>
    </row>
    <row r="307" ht="15.75" customHeight="1">
      <c r="P307" s="83"/>
    </row>
    <row r="308" ht="15.75" customHeight="1">
      <c r="P308" s="83"/>
    </row>
    <row r="309" ht="15.75" customHeight="1">
      <c r="P309" s="83"/>
    </row>
    <row r="310" ht="15.75" customHeight="1">
      <c r="P310" s="83"/>
    </row>
    <row r="311" ht="15.75" customHeight="1">
      <c r="P311" s="83"/>
    </row>
    <row r="312" ht="15.75" customHeight="1">
      <c r="P312" s="83"/>
    </row>
    <row r="313" ht="15.75" customHeight="1">
      <c r="P313" s="83"/>
    </row>
    <row r="314" ht="15.75" customHeight="1">
      <c r="P314" s="83"/>
    </row>
    <row r="315" ht="15.75" customHeight="1">
      <c r="P315" s="83"/>
    </row>
    <row r="316" ht="15.75" customHeight="1">
      <c r="P316" s="83"/>
    </row>
    <row r="317" ht="15.75" customHeight="1">
      <c r="P317" s="83"/>
    </row>
    <row r="318" ht="15.75" customHeight="1">
      <c r="P318" s="83"/>
    </row>
    <row r="319" ht="15.75" customHeight="1">
      <c r="P319" s="83"/>
    </row>
    <row r="320" ht="15.75" customHeight="1">
      <c r="P320" s="83"/>
    </row>
    <row r="321" ht="15.75" customHeight="1">
      <c r="P321" s="83"/>
    </row>
    <row r="322" ht="15.75" customHeight="1">
      <c r="P322" s="83"/>
    </row>
    <row r="323" ht="15.75" customHeight="1">
      <c r="P323" s="83"/>
    </row>
    <row r="324" ht="15.75" customHeight="1">
      <c r="P324" s="83"/>
    </row>
    <row r="325" ht="15.75" customHeight="1">
      <c r="P325" s="83"/>
    </row>
    <row r="326" ht="15.75" customHeight="1">
      <c r="P326" s="83"/>
    </row>
    <row r="327" ht="15.75" customHeight="1">
      <c r="P327" s="83"/>
    </row>
    <row r="328" ht="15.75" customHeight="1">
      <c r="P328" s="83"/>
    </row>
    <row r="329" ht="15.75" customHeight="1">
      <c r="P329" s="83"/>
    </row>
    <row r="330" ht="15.75" customHeight="1">
      <c r="P330" s="83"/>
    </row>
    <row r="331" ht="15.75" customHeight="1">
      <c r="P331" s="83"/>
    </row>
    <row r="332" ht="15.75" customHeight="1">
      <c r="P332" s="83"/>
    </row>
    <row r="333" ht="15.75" customHeight="1">
      <c r="P333" s="83"/>
    </row>
    <row r="334" ht="15.75" customHeight="1">
      <c r="P334" s="83"/>
    </row>
    <row r="335" ht="15.75" customHeight="1">
      <c r="P335" s="83"/>
    </row>
    <row r="336" ht="15.75" customHeight="1">
      <c r="P336" s="83"/>
    </row>
    <row r="337" ht="15.75" customHeight="1">
      <c r="P337" s="83"/>
    </row>
    <row r="338" ht="15.75" customHeight="1">
      <c r="P338" s="83"/>
    </row>
    <row r="339" ht="15.75" customHeight="1">
      <c r="P339" s="83"/>
    </row>
    <row r="340" ht="15.75" customHeight="1">
      <c r="P340" s="83"/>
    </row>
    <row r="341" ht="15.75" customHeight="1">
      <c r="P341" s="83"/>
    </row>
    <row r="342" ht="15.75" customHeight="1">
      <c r="P342" s="83"/>
    </row>
    <row r="343" ht="15.75" customHeight="1">
      <c r="P343" s="83"/>
    </row>
    <row r="344" ht="15.75" customHeight="1">
      <c r="P344" s="83"/>
    </row>
    <row r="345" ht="15.75" customHeight="1">
      <c r="P345" s="83"/>
    </row>
    <row r="346" ht="15.75" customHeight="1">
      <c r="P346" s="83"/>
    </row>
    <row r="347" ht="15.75" customHeight="1">
      <c r="P347" s="83"/>
    </row>
    <row r="348" ht="15.75" customHeight="1">
      <c r="P348" s="83"/>
    </row>
    <row r="349" ht="15.75" customHeight="1">
      <c r="P349" s="83"/>
    </row>
    <row r="350" ht="15.75" customHeight="1">
      <c r="P350" s="83"/>
    </row>
    <row r="351" ht="15.75" customHeight="1">
      <c r="P351" s="83"/>
    </row>
    <row r="352" ht="15.75" customHeight="1">
      <c r="P352" s="83"/>
    </row>
    <row r="353" ht="15.75" customHeight="1">
      <c r="P353" s="83"/>
    </row>
    <row r="354" ht="15.75" customHeight="1">
      <c r="P354" s="83"/>
    </row>
    <row r="355" ht="15.75" customHeight="1">
      <c r="P355" s="83"/>
    </row>
    <row r="356" ht="15.75" customHeight="1">
      <c r="P356" s="83"/>
    </row>
    <row r="357" ht="15.75" customHeight="1">
      <c r="P357" s="83"/>
    </row>
    <row r="358" ht="15.75" customHeight="1">
      <c r="P358" s="83"/>
    </row>
    <row r="359" ht="15.75" customHeight="1">
      <c r="P359" s="83"/>
    </row>
    <row r="360" ht="15.75" customHeight="1">
      <c r="P360" s="83"/>
    </row>
    <row r="361" ht="15.75" customHeight="1">
      <c r="P361" s="83"/>
    </row>
    <row r="362" ht="15.75" customHeight="1">
      <c r="P362" s="83"/>
    </row>
    <row r="363" ht="15.75" customHeight="1">
      <c r="P363" s="83"/>
    </row>
    <row r="364" ht="15.75" customHeight="1">
      <c r="P364" s="83"/>
    </row>
    <row r="365" ht="15.75" customHeight="1">
      <c r="P365" s="83"/>
    </row>
    <row r="366" ht="15.75" customHeight="1">
      <c r="P366" s="83"/>
    </row>
    <row r="367" ht="15.75" customHeight="1">
      <c r="P367" s="83"/>
    </row>
    <row r="368" ht="15.75" customHeight="1">
      <c r="P368" s="83"/>
    </row>
    <row r="369" ht="15.75" customHeight="1">
      <c r="P369" s="83"/>
    </row>
    <row r="370" ht="15.75" customHeight="1">
      <c r="P370" s="83"/>
    </row>
    <row r="371" ht="15.75" customHeight="1">
      <c r="P371" s="83"/>
    </row>
    <row r="372" ht="15.75" customHeight="1">
      <c r="P372" s="83"/>
    </row>
    <row r="373" ht="15.75" customHeight="1">
      <c r="P373" s="83"/>
    </row>
    <row r="374" ht="15.75" customHeight="1">
      <c r="P374" s="83"/>
    </row>
    <row r="375" ht="15.75" customHeight="1">
      <c r="P375" s="83"/>
    </row>
    <row r="376" ht="15.75" customHeight="1">
      <c r="P376" s="83"/>
    </row>
    <row r="377" ht="15.75" customHeight="1">
      <c r="P377" s="83"/>
    </row>
    <row r="378" ht="15.75" customHeight="1">
      <c r="P378" s="83"/>
    </row>
    <row r="379" ht="15.75" customHeight="1">
      <c r="P379" s="83"/>
    </row>
    <row r="380" ht="15.75" customHeight="1">
      <c r="P380" s="83"/>
    </row>
    <row r="381" ht="15.75" customHeight="1">
      <c r="P381" s="83"/>
    </row>
    <row r="382" ht="15.75" customHeight="1">
      <c r="P382" s="83"/>
    </row>
    <row r="383" ht="15.75" customHeight="1">
      <c r="P383" s="83"/>
    </row>
    <row r="384" ht="15.75" customHeight="1">
      <c r="P384" s="83"/>
    </row>
    <row r="385" ht="15.75" customHeight="1">
      <c r="P385" s="83"/>
    </row>
    <row r="386" ht="15.75" customHeight="1">
      <c r="P386" s="83"/>
    </row>
    <row r="387" ht="15.75" customHeight="1">
      <c r="P387" s="83"/>
    </row>
    <row r="388" ht="15.75" customHeight="1">
      <c r="P388" s="83"/>
    </row>
    <row r="389" ht="15.75" customHeight="1">
      <c r="P389" s="83"/>
    </row>
    <row r="390" ht="15.75" customHeight="1">
      <c r="P390" s="83"/>
    </row>
    <row r="391" ht="15.75" customHeight="1">
      <c r="P391" s="83"/>
    </row>
    <row r="392" ht="15.75" customHeight="1">
      <c r="P392" s="83"/>
    </row>
    <row r="393" ht="15.75" customHeight="1">
      <c r="P393" s="83"/>
    </row>
    <row r="394" ht="15.75" customHeight="1">
      <c r="P394" s="83"/>
    </row>
    <row r="395" ht="15.75" customHeight="1">
      <c r="P395" s="83"/>
    </row>
    <row r="396" ht="15.75" customHeight="1">
      <c r="P396" s="83"/>
    </row>
    <row r="397" ht="15.75" customHeight="1">
      <c r="P397" s="83"/>
    </row>
    <row r="398" ht="15.75" customHeight="1">
      <c r="P398" s="83"/>
    </row>
    <row r="399" ht="15.75" customHeight="1">
      <c r="P399" s="83"/>
    </row>
    <row r="400" ht="15.75" customHeight="1">
      <c r="P400" s="83"/>
    </row>
    <row r="401" ht="15.75" customHeight="1">
      <c r="P401" s="83"/>
    </row>
    <row r="402" ht="15.75" customHeight="1">
      <c r="P402" s="83"/>
    </row>
    <row r="403" ht="15.75" customHeight="1">
      <c r="P403" s="83"/>
    </row>
    <row r="404" ht="15.75" customHeight="1">
      <c r="P404" s="83"/>
    </row>
    <row r="405" ht="15.75" customHeight="1">
      <c r="P405" s="83"/>
    </row>
    <row r="406" ht="15.75" customHeight="1">
      <c r="P406" s="83"/>
    </row>
    <row r="407" ht="15.75" customHeight="1">
      <c r="P407" s="83"/>
    </row>
    <row r="408" ht="15.75" customHeight="1">
      <c r="P408" s="83"/>
    </row>
    <row r="409" ht="15.75" customHeight="1">
      <c r="P409" s="83"/>
    </row>
    <row r="410" ht="15.75" customHeight="1">
      <c r="P410" s="83"/>
    </row>
    <row r="411" ht="15.75" customHeight="1">
      <c r="P411" s="83"/>
    </row>
    <row r="412" ht="15.75" customHeight="1">
      <c r="P412" s="83"/>
    </row>
    <row r="413" ht="15.75" customHeight="1">
      <c r="P413" s="83"/>
    </row>
    <row r="414" ht="15.75" customHeight="1">
      <c r="P414" s="83"/>
    </row>
    <row r="415" ht="15.75" customHeight="1">
      <c r="P415" s="83"/>
    </row>
    <row r="416" ht="15.75" customHeight="1">
      <c r="P416" s="83"/>
    </row>
    <row r="417" ht="15.75" customHeight="1">
      <c r="P417" s="83"/>
    </row>
    <row r="418" ht="15.75" customHeight="1">
      <c r="P418" s="83"/>
    </row>
    <row r="419" ht="15.75" customHeight="1">
      <c r="P419" s="83"/>
    </row>
    <row r="420" ht="15.75" customHeight="1">
      <c r="P420" s="83"/>
    </row>
    <row r="421" ht="15.75" customHeight="1">
      <c r="P421" s="83"/>
    </row>
    <row r="422" ht="15.75" customHeight="1">
      <c r="P422" s="83"/>
    </row>
    <row r="423" ht="15.75" customHeight="1">
      <c r="P423" s="83"/>
    </row>
    <row r="424" ht="15.75" customHeight="1">
      <c r="P424" s="83"/>
    </row>
    <row r="425" ht="15.75" customHeight="1">
      <c r="P425" s="83"/>
    </row>
    <row r="426" ht="15.75" customHeight="1">
      <c r="P426" s="83"/>
    </row>
    <row r="427" ht="15.75" customHeight="1">
      <c r="P427" s="83"/>
    </row>
    <row r="428" ht="15.75" customHeight="1">
      <c r="P428" s="83"/>
    </row>
    <row r="429" ht="15.75" customHeight="1">
      <c r="P429" s="83"/>
    </row>
    <row r="430" ht="15.75" customHeight="1">
      <c r="P430" s="83"/>
    </row>
    <row r="431" ht="15.75" customHeight="1">
      <c r="P431" s="83"/>
    </row>
    <row r="432" ht="15.75" customHeight="1">
      <c r="P432" s="83"/>
    </row>
    <row r="433" ht="15.75" customHeight="1">
      <c r="P433" s="83"/>
    </row>
    <row r="434" ht="15.75" customHeight="1">
      <c r="P434" s="83"/>
    </row>
    <row r="435" ht="15.75" customHeight="1">
      <c r="P435" s="83"/>
    </row>
    <row r="436" ht="15.75" customHeight="1">
      <c r="P436" s="83"/>
    </row>
    <row r="437" ht="15.75" customHeight="1">
      <c r="P437" s="83"/>
    </row>
    <row r="438" ht="15.75" customHeight="1">
      <c r="P438" s="83"/>
    </row>
    <row r="439" ht="15.75" customHeight="1">
      <c r="P439" s="83"/>
    </row>
    <row r="440" ht="15.75" customHeight="1">
      <c r="P440" s="83"/>
    </row>
    <row r="441" ht="15.75" customHeight="1">
      <c r="P441" s="83"/>
    </row>
    <row r="442" ht="15.75" customHeight="1">
      <c r="P442" s="83"/>
    </row>
    <row r="443" ht="15.75" customHeight="1">
      <c r="P443" s="83"/>
    </row>
    <row r="444" ht="15.75" customHeight="1">
      <c r="P444" s="83"/>
    </row>
    <row r="445" ht="15.75" customHeight="1">
      <c r="P445" s="83"/>
    </row>
    <row r="446" ht="15.75" customHeight="1">
      <c r="P446" s="83"/>
    </row>
    <row r="447" ht="15.75" customHeight="1">
      <c r="P447" s="83"/>
    </row>
    <row r="448" ht="15.75" customHeight="1">
      <c r="P448" s="83"/>
    </row>
    <row r="449" ht="15.75" customHeight="1">
      <c r="P449" s="83"/>
    </row>
    <row r="450" ht="15.75" customHeight="1">
      <c r="P450" s="83"/>
    </row>
    <row r="451" ht="15.75" customHeight="1">
      <c r="P451" s="83"/>
    </row>
    <row r="452" ht="15.75" customHeight="1">
      <c r="P452" s="83"/>
    </row>
    <row r="453" ht="15.75" customHeight="1">
      <c r="P453" s="83"/>
    </row>
    <row r="454" ht="15.75" customHeight="1">
      <c r="P454" s="83"/>
    </row>
    <row r="455" ht="15.75" customHeight="1">
      <c r="P455" s="83"/>
    </row>
    <row r="456" ht="15.75" customHeight="1">
      <c r="P456" s="83"/>
    </row>
    <row r="457" ht="15.75" customHeight="1">
      <c r="P457" s="83"/>
    </row>
    <row r="458" ht="15.75" customHeight="1">
      <c r="P458" s="83"/>
    </row>
    <row r="459" ht="15.75" customHeight="1">
      <c r="P459" s="83"/>
    </row>
    <row r="460" ht="15.75" customHeight="1">
      <c r="P460" s="83"/>
    </row>
    <row r="461" ht="15.75" customHeight="1">
      <c r="P461" s="83"/>
    </row>
    <row r="462" ht="15.75" customHeight="1">
      <c r="P462" s="83"/>
    </row>
    <row r="463" ht="15.75" customHeight="1">
      <c r="P463" s="83"/>
    </row>
    <row r="464" ht="15.75" customHeight="1">
      <c r="P464" s="83"/>
    </row>
    <row r="465" ht="15.75" customHeight="1">
      <c r="P465" s="83"/>
    </row>
    <row r="466" ht="15.75" customHeight="1">
      <c r="P466" s="83"/>
    </row>
    <row r="467" ht="15.75" customHeight="1">
      <c r="P467" s="83"/>
    </row>
    <row r="468" ht="15.75" customHeight="1">
      <c r="P468" s="83"/>
    </row>
    <row r="469" ht="15.75" customHeight="1">
      <c r="P469" s="83"/>
    </row>
    <row r="470" ht="15.75" customHeight="1">
      <c r="P470" s="83"/>
    </row>
    <row r="471" ht="15.75" customHeight="1">
      <c r="P471" s="83"/>
    </row>
    <row r="472" ht="15.75" customHeight="1">
      <c r="P472" s="83"/>
    </row>
    <row r="473" ht="15.75" customHeight="1">
      <c r="P473" s="83"/>
    </row>
    <row r="474" ht="15.75" customHeight="1">
      <c r="P474" s="83"/>
    </row>
    <row r="475" ht="15.75" customHeight="1">
      <c r="P475" s="83"/>
    </row>
    <row r="476" ht="15.75" customHeight="1">
      <c r="P476" s="83"/>
    </row>
    <row r="477" ht="15.75" customHeight="1">
      <c r="P477" s="83"/>
    </row>
    <row r="478" ht="15.75" customHeight="1">
      <c r="P478" s="83"/>
    </row>
    <row r="479" ht="15.75" customHeight="1">
      <c r="P479" s="83"/>
    </row>
    <row r="480" ht="15.75" customHeight="1">
      <c r="P480" s="83"/>
    </row>
    <row r="481" ht="15.75" customHeight="1">
      <c r="P481" s="83"/>
    </row>
    <row r="482" ht="15.75" customHeight="1">
      <c r="P482" s="83"/>
    </row>
    <row r="483" ht="15.75" customHeight="1">
      <c r="P483" s="83"/>
    </row>
    <row r="484" ht="15.75" customHeight="1">
      <c r="P484" s="83"/>
    </row>
    <row r="485" ht="15.75" customHeight="1">
      <c r="P485" s="83"/>
    </row>
    <row r="486" ht="15.75" customHeight="1">
      <c r="P486" s="83"/>
    </row>
    <row r="487" ht="15.75" customHeight="1">
      <c r="P487" s="83"/>
    </row>
    <row r="488" ht="15.75" customHeight="1">
      <c r="P488" s="83"/>
    </row>
    <row r="489" ht="15.75" customHeight="1">
      <c r="P489" s="83"/>
    </row>
    <row r="490" ht="15.75" customHeight="1">
      <c r="P490" s="83"/>
    </row>
    <row r="491" ht="15.75" customHeight="1">
      <c r="P491" s="83"/>
    </row>
    <row r="492" ht="15.75" customHeight="1">
      <c r="P492" s="83"/>
    </row>
    <row r="493" ht="15.75" customHeight="1">
      <c r="P493" s="83"/>
    </row>
    <row r="494" ht="15.75" customHeight="1">
      <c r="P494" s="83"/>
    </row>
    <row r="495" ht="15.75" customHeight="1">
      <c r="P495" s="83"/>
    </row>
    <row r="496" ht="15.75" customHeight="1">
      <c r="P496" s="83"/>
    </row>
    <row r="497" ht="15.75" customHeight="1">
      <c r="P497" s="83"/>
    </row>
    <row r="498" ht="15.75" customHeight="1">
      <c r="P498" s="83"/>
    </row>
    <row r="499" ht="15.75" customHeight="1">
      <c r="P499" s="83"/>
    </row>
    <row r="500" ht="15.75" customHeight="1">
      <c r="P500" s="83"/>
    </row>
    <row r="501" ht="15.75" customHeight="1">
      <c r="P501" s="83"/>
    </row>
    <row r="502" ht="15.75" customHeight="1">
      <c r="P502" s="83"/>
    </row>
    <row r="503" ht="15.75" customHeight="1">
      <c r="P503" s="83"/>
    </row>
    <row r="504" ht="15.75" customHeight="1">
      <c r="P504" s="83"/>
    </row>
    <row r="505" ht="15.75" customHeight="1">
      <c r="P505" s="83"/>
    </row>
    <row r="506" ht="15.75" customHeight="1">
      <c r="P506" s="83"/>
    </row>
    <row r="507" ht="15.75" customHeight="1">
      <c r="P507" s="83"/>
    </row>
    <row r="508" ht="15.75" customHeight="1">
      <c r="P508" s="83"/>
    </row>
    <row r="509" ht="15.75" customHeight="1">
      <c r="P509" s="83"/>
    </row>
    <row r="510" ht="15.75" customHeight="1">
      <c r="P510" s="83"/>
    </row>
    <row r="511" ht="15.75" customHeight="1">
      <c r="P511" s="83"/>
    </row>
    <row r="512" ht="15.75" customHeight="1">
      <c r="P512" s="83"/>
    </row>
    <row r="513" ht="15.75" customHeight="1">
      <c r="P513" s="83"/>
    </row>
    <row r="514" ht="15.75" customHeight="1">
      <c r="P514" s="83"/>
    </row>
    <row r="515" ht="15.75" customHeight="1">
      <c r="P515" s="83"/>
    </row>
    <row r="516" ht="15.75" customHeight="1">
      <c r="P516" s="83"/>
    </row>
    <row r="517" ht="15.75" customHeight="1">
      <c r="P517" s="83"/>
    </row>
    <row r="518" ht="15.75" customHeight="1">
      <c r="P518" s="83"/>
    </row>
    <row r="519" ht="15.75" customHeight="1">
      <c r="P519" s="83"/>
    </row>
    <row r="520" ht="15.75" customHeight="1">
      <c r="P520" s="83"/>
    </row>
    <row r="521" ht="15.75" customHeight="1">
      <c r="P521" s="83"/>
    </row>
    <row r="522" ht="15.75" customHeight="1">
      <c r="P522" s="83"/>
    </row>
    <row r="523" ht="15.75" customHeight="1">
      <c r="P523" s="83"/>
    </row>
    <row r="524" ht="15.75" customHeight="1">
      <c r="P524" s="83"/>
    </row>
    <row r="525" ht="15.75" customHeight="1">
      <c r="P525" s="83"/>
    </row>
    <row r="526" ht="15.75" customHeight="1">
      <c r="P526" s="83"/>
    </row>
    <row r="527" ht="15.75" customHeight="1">
      <c r="P527" s="83"/>
    </row>
    <row r="528" ht="15.75" customHeight="1">
      <c r="P528" s="83"/>
    </row>
    <row r="529" ht="15.75" customHeight="1">
      <c r="P529" s="83"/>
    </row>
    <row r="530" ht="15.75" customHeight="1">
      <c r="P530" s="83"/>
    </row>
    <row r="531" ht="15.75" customHeight="1">
      <c r="P531" s="83"/>
    </row>
    <row r="532" ht="15.75" customHeight="1">
      <c r="P532" s="83"/>
    </row>
    <row r="533" ht="15.75" customHeight="1">
      <c r="P533" s="83"/>
    </row>
    <row r="534" ht="15.75" customHeight="1">
      <c r="P534" s="83"/>
    </row>
    <row r="535" ht="15.75" customHeight="1">
      <c r="P535" s="83"/>
    </row>
    <row r="536" ht="15.75" customHeight="1">
      <c r="P536" s="83"/>
    </row>
    <row r="537" ht="15.75" customHeight="1">
      <c r="P537" s="83"/>
    </row>
    <row r="538" ht="15.75" customHeight="1">
      <c r="P538" s="83"/>
    </row>
    <row r="539" ht="15.75" customHeight="1">
      <c r="P539" s="83"/>
    </row>
    <row r="540" ht="15.75" customHeight="1">
      <c r="P540" s="83"/>
    </row>
    <row r="541" ht="15.75" customHeight="1">
      <c r="P541" s="83"/>
    </row>
    <row r="542" ht="15.75" customHeight="1">
      <c r="P542" s="83"/>
    </row>
    <row r="543" ht="15.75" customHeight="1">
      <c r="P543" s="83"/>
    </row>
    <row r="544" ht="15.75" customHeight="1">
      <c r="P544" s="83"/>
    </row>
    <row r="545" ht="15.75" customHeight="1">
      <c r="P545" s="83"/>
    </row>
    <row r="546" ht="15.75" customHeight="1">
      <c r="P546" s="83"/>
    </row>
    <row r="547" ht="15.75" customHeight="1">
      <c r="P547" s="83"/>
    </row>
    <row r="548" ht="15.75" customHeight="1">
      <c r="P548" s="83"/>
    </row>
    <row r="549" ht="15.75" customHeight="1">
      <c r="P549" s="83"/>
    </row>
    <row r="550" ht="15.75" customHeight="1">
      <c r="P550" s="83"/>
    </row>
    <row r="551" ht="15.75" customHeight="1">
      <c r="P551" s="83"/>
    </row>
    <row r="552" ht="15.75" customHeight="1">
      <c r="P552" s="83"/>
    </row>
    <row r="553" ht="15.75" customHeight="1">
      <c r="P553" s="83"/>
    </row>
    <row r="554" ht="15.75" customHeight="1">
      <c r="P554" s="83"/>
    </row>
    <row r="555" ht="15.75" customHeight="1">
      <c r="P555" s="83"/>
    </row>
    <row r="556" ht="15.75" customHeight="1">
      <c r="P556" s="83"/>
    </row>
    <row r="557" ht="15.75" customHeight="1">
      <c r="P557" s="83"/>
    </row>
    <row r="558" ht="15.75" customHeight="1">
      <c r="P558" s="83"/>
    </row>
    <row r="559" ht="15.75" customHeight="1">
      <c r="P559" s="83"/>
    </row>
    <row r="560" ht="15.75" customHeight="1">
      <c r="P560" s="83"/>
    </row>
    <row r="561" ht="15.75" customHeight="1">
      <c r="P561" s="83"/>
    </row>
    <row r="562" ht="15.75" customHeight="1">
      <c r="P562" s="83"/>
    </row>
    <row r="563" ht="15.75" customHeight="1">
      <c r="P563" s="83"/>
    </row>
    <row r="564" ht="15.75" customHeight="1">
      <c r="P564" s="83"/>
    </row>
    <row r="565" ht="15.75" customHeight="1">
      <c r="P565" s="83"/>
    </row>
    <row r="566" ht="15.75" customHeight="1">
      <c r="P566" s="83"/>
    </row>
    <row r="567" ht="15.75" customHeight="1">
      <c r="P567" s="83"/>
    </row>
    <row r="568" ht="15.75" customHeight="1">
      <c r="P568" s="83"/>
    </row>
    <row r="569" ht="15.75" customHeight="1">
      <c r="P569" s="83"/>
    </row>
    <row r="570" ht="15.75" customHeight="1">
      <c r="P570" s="83"/>
    </row>
    <row r="571" ht="15.75" customHeight="1">
      <c r="P571" s="83"/>
    </row>
    <row r="572" ht="15.75" customHeight="1">
      <c r="P572" s="83"/>
    </row>
    <row r="573" ht="15.75" customHeight="1">
      <c r="P573" s="83"/>
    </row>
    <row r="574" ht="15.75" customHeight="1">
      <c r="P574" s="83"/>
    </row>
    <row r="575" ht="15.75" customHeight="1">
      <c r="P575" s="83"/>
    </row>
    <row r="576" ht="15.75" customHeight="1">
      <c r="P576" s="83"/>
    </row>
    <row r="577" ht="15.75" customHeight="1">
      <c r="P577" s="83"/>
    </row>
    <row r="578" ht="15.75" customHeight="1">
      <c r="P578" s="83"/>
    </row>
    <row r="579" ht="15.75" customHeight="1">
      <c r="P579" s="83"/>
    </row>
    <row r="580" ht="15.75" customHeight="1">
      <c r="P580" s="83"/>
    </row>
    <row r="581" ht="15.75" customHeight="1">
      <c r="P581" s="83"/>
    </row>
    <row r="582" ht="15.75" customHeight="1">
      <c r="P582" s="83"/>
    </row>
    <row r="583" ht="15.75" customHeight="1">
      <c r="P583" s="83"/>
    </row>
    <row r="584" ht="15.75" customHeight="1">
      <c r="P584" s="83"/>
    </row>
    <row r="585" ht="15.75" customHeight="1">
      <c r="P585" s="83"/>
    </row>
    <row r="586" ht="15.75" customHeight="1">
      <c r="P586" s="83"/>
    </row>
    <row r="587" ht="15.75" customHeight="1">
      <c r="P587" s="83"/>
    </row>
    <row r="588" ht="15.75" customHeight="1">
      <c r="P588" s="83"/>
    </row>
    <row r="589" ht="15.75" customHeight="1">
      <c r="P589" s="83"/>
    </row>
    <row r="590" ht="15.75" customHeight="1">
      <c r="P590" s="83"/>
    </row>
    <row r="591" ht="15.75" customHeight="1">
      <c r="P591" s="83"/>
    </row>
    <row r="592" ht="15.75" customHeight="1">
      <c r="P592" s="83"/>
    </row>
    <row r="593" ht="15.75" customHeight="1">
      <c r="P593" s="83"/>
    </row>
    <row r="594" ht="15.75" customHeight="1">
      <c r="P594" s="83"/>
    </row>
    <row r="595" ht="15.75" customHeight="1">
      <c r="P595" s="83"/>
    </row>
    <row r="596" ht="15.75" customHeight="1">
      <c r="P596" s="83"/>
    </row>
    <row r="597" ht="15.75" customHeight="1">
      <c r="P597" s="83"/>
    </row>
    <row r="598" ht="15.75" customHeight="1">
      <c r="P598" s="83"/>
    </row>
    <row r="599" ht="15.75" customHeight="1">
      <c r="P599" s="83"/>
    </row>
    <row r="600" ht="15.75" customHeight="1">
      <c r="P600" s="83"/>
    </row>
    <row r="601" ht="15.75" customHeight="1">
      <c r="P601" s="83"/>
    </row>
    <row r="602" ht="15.75" customHeight="1">
      <c r="P602" s="83"/>
    </row>
    <row r="603" ht="15.75" customHeight="1">
      <c r="P603" s="83"/>
    </row>
    <row r="604" ht="15.75" customHeight="1">
      <c r="P604" s="83"/>
    </row>
    <row r="605" ht="15.75" customHeight="1">
      <c r="P605" s="83"/>
    </row>
    <row r="606" ht="15.75" customHeight="1">
      <c r="P606" s="83"/>
    </row>
    <row r="607" ht="15.75" customHeight="1">
      <c r="P607" s="83"/>
    </row>
    <row r="608" ht="15.75" customHeight="1">
      <c r="P608" s="83"/>
    </row>
    <row r="609" ht="15.75" customHeight="1">
      <c r="P609" s="83"/>
    </row>
    <row r="610" ht="15.75" customHeight="1">
      <c r="P610" s="83"/>
    </row>
    <row r="611" ht="15.75" customHeight="1">
      <c r="P611" s="83"/>
    </row>
    <row r="612" ht="15.75" customHeight="1">
      <c r="P612" s="83"/>
    </row>
    <row r="613" ht="15.75" customHeight="1">
      <c r="P613" s="83"/>
    </row>
    <row r="614" ht="15.75" customHeight="1">
      <c r="P614" s="83"/>
    </row>
    <row r="615" ht="15.75" customHeight="1">
      <c r="P615" s="83"/>
    </row>
    <row r="616" ht="15.75" customHeight="1">
      <c r="P616" s="83"/>
    </row>
    <row r="617" ht="15.75" customHeight="1">
      <c r="P617" s="83"/>
    </row>
    <row r="618" ht="15.75" customHeight="1">
      <c r="P618" s="83"/>
    </row>
    <row r="619" ht="15.75" customHeight="1">
      <c r="P619" s="83"/>
    </row>
    <row r="620" ht="15.75" customHeight="1">
      <c r="P620" s="83"/>
    </row>
    <row r="621" ht="15.75" customHeight="1">
      <c r="P621" s="83"/>
    </row>
    <row r="622" ht="15.75" customHeight="1">
      <c r="P622" s="83"/>
    </row>
    <row r="623" ht="15.75" customHeight="1">
      <c r="P623" s="83"/>
    </row>
    <row r="624" ht="15.75" customHeight="1">
      <c r="P624" s="83"/>
    </row>
    <row r="625" ht="15.75" customHeight="1">
      <c r="P625" s="83"/>
    </row>
    <row r="626" ht="15.75" customHeight="1">
      <c r="P626" s="83"/>
    </row>
    <row r="627" ht="15.75" customHeight="1">
      <c r="P627" s="83"/>
    </row>
    <row r="628" ht="15.75" customHeight="1">
      <c r="P628" s="83"/>
    </row>
    <row r="629" ht="15.75" customHeight="1">
      <c r="P629" s="83"/>
    </row>
    <row r="630" ht="15.75" customHeight="1">
      <c r="P630" s="83"/>
    </row>
    <row r="631" ht="15.75" customHeight="1">
      <c r="P631" s="83"/>
    </row>
    <row r="632" ht="15.75" customHeight="1">
      <c r="P632" s="83"/>
    </row>
    <row r="633" ht="15.75" customHeight="1">
      <c r="P633" s="83"/>
    </row>
    <row r="634" ht="15.75" customHeight="1">
      <c r="P634" s="83"/>
    </row>
    <row r="635" ht="15.75" customHeight="1">
      <c r="P635" s="83"/>
    </row>
    <row r="636" ht="15.75" customHeight="1">
      <c r="P636" s="83"/>
    </row>
    <row r="637" ht="15.75" customHeight="1">
      <c r="P637" s="83"/>
    </row>
    <row r="638" ht="15.75" customHeight="1">
      <c r="P638" s="83"/>
    </row>
    <row r="639" ht="15.75" customHeight="1">
      <c r="P639" s="83"/>
    </row>
    <row r="640" ht="15.75" customHeight="1">
      <c r="P640" s="83"/>
    </row>
    <row r="641" ht="15.75" customHeight="1">
      <c r="P641" s="83"/>
    </row>
    <row r="642" ht="15.75" customHeight="1">
      <c r="P642" s="83"/>
    </row>
    <row r="643" ht="15.75" customHeight="1">
      <c r="P643" s="83"/>
    </row>
    <row r="644" ht="15.75" customHeight="1">
      <c r="P644" s="83"/>
    </row>
    <row r="645" ht="15.75" customHeight="1">
      <c r="P645" s="83"/>
    </row>
    <row r="646" ht="15.75" customHeight="1">
      <c r="P646" s="83"/>
    </row>
    <row r="647" ht="15.75" customHeight="1">
      <c r="P647" s="83"/>
    </row>
    <row r="648" ht="15.75" customHeight="1">
      <c r="P648" s="83"/>
    </row>
    <row r="649" ht="15.75" customHeight="1">
      <c r="P649" s="83"/>
    </row>
    <row r="650" ht="15.75" customHeight="1">
      <c r="P650" s="83"/>
    </row>
    <row r="651" ht="15.75" customHeight="1">
      <c r="P651" s="83"/>
    </row>
    <row r="652" ht="15.75" customHeight="1">
      <c r="P652" s="83"/>
    </row>
    <row r="653" ht="15.75" customHeight="1">
      <c r="P653" s="83"/>
    </row>
    <row r="654" ht="15.75" customHeight="1">
      <c r="P654" s="83"/>
    </row>
    <row r="655" ht="15.75" customHeight="1">
      <c r="P655" s="83"/>
    </row>
    <row r="656" ht="15.75" customHeight="1">
      <c r="P656" s="83"/>
    </row>
    <row r="657" ht="15.75" customHeight="1">
      <c r="P657" s="83"/>
    </row>
    <row r="658" ht="15.75" customHeight="1">
      <c r="P658" s="83"/>
    </row>
    <row r="659" ht="15.75" customHeight="1">
      <c r="P659" s="83"/>
    </row>
    <row r="660" ht="15.75" customHeight="1">
      <c r="P660" s="83"/>
    </row>
    <row r="661" ht="15.75" customHeight="1">
      <c r="P661" s="83"/>
    </row>
    <row r="662" ht="15.75" customHeight="1">
      <c r="P662" s="83"/>
    </row>
    <row r="663" ht="15.75" customHeight="1">
      <c r="P663" s="83"/>
    </row>
    <row r="664" ht="15.75" customHeight="1">
      <c r="P664" s="83"/>
    </row>
    <row r="665" ht="15.75" customHeight="1">
      <c r="P665" s="83"/>
    </row>
    <row r="666" ht="15.75" customHeight="1">
      <c r="P666" s="83"/>
    </row>
    <row r="667" ht="15.75" customHeight="1">
      <c r="P667" s="83"/>
    </row>
    <row r="668" ht="15.75" customHeight="1">
      <c r="P668" s="83"/>
    </row>
    <row r="669" ht="15.75" customHeight="1">
      <c r="P669" s="83"/>
    </row>
    <row r="670" ht="15.75" customHeight="1">
      <c r="P670" s="83"/>
    </row>
    <row r="671" ht="15.75" customHeight="1">
      <c r="P671" s="83"/>
    </row>
    <row r="672" ht="15.75" customHeight="1">
      <c r="P672" s="83"/>
    </row>
    <row r="673" ht="15.75" customHeight="1">
      <c r="P673" s="83"/>
    </row>
    <row r="674" ht="15.75" customHeight="1">
      <c r="P674" s="83"/>
    </row>
    <row r="675" ht="15.75" customHeight="1">
      <c r="P675" s="83"/>
    </row>
    <row r="676" ht="15.75" customHeight="1">
      <c r="P676" s="83"/>
    </row>
    <row r="677" ht="15.75" customHeight="1">
      <c r="P677" s="83"/>
    </row>
    <row r="678" ht="15.75" customHeight="1">
      <c r="P678" s="83"/>
    </row>
    <row r="679" ht="15.75" customHeight="1">
      <c r="P679" s="83"/>
    </row>
    <row r="680" ht="15.75" customHeight="1">
      <c r="P680" s="83"/>
    </row>
    <row r="681" ht="15.75" customHeight="1">
      <c r="P681" s="83"/>
    </row>
    <row r="682" ht="15.75" customHeight="1">
      <c r="P682" s="83"/>
    </row>
    <row r="683" ht="15.75" customHeight="1">
      <c r="P683" s="83"/>
    </row>
    <row r="684" ht="15.75" customHeight="1">
      <c r="P684" s="83"/>
    </row>
    <row r="685" ht="15.75" customHeight="1">
      <c r="P685" s="83"/>
    </row>
    <row r="686" ht="15.75" customHeight="1">
      <c r="P686" s="83"/>
    </row>
    <row r="687" ht="15.75" customHeight="1">
      <c r="P687" s="83"/>
    </row>
    <row r="688" ht="15.75" customHeight="1">
      <c r="P688" s="83"/>
    </row>
    <row r="689" ht="15.75" customHeight="1">
      <c r="P689" s="83"/>
    </row>
    <row r="690" ht="15.75" customHeight="1">
      <c r="P690" s="83"/>
    </row>
    <row r="691" ht="15.75" customHeight="1">
      <c r="P691" s="83"/>
    </row>
    <row r="692" ht="15.75" customHeight="1">
      <c r="P692" s="83"/>
    </row>
    <row r="693" ht="15.75" customHeight="1">
      <c r="P693" s="83"/>
    </row>
    <row r="694" ht="15.75" customHeight="1">
      <c r="P694" s="83"/>
    </row>
    <row r="695" ht="15.75" customHeight="1">
      <c r="P695" s="83"/>
    </row>
    <row r="696" ht="15.75" customHeight="1">
      <c r="P696" s="83"/>
    </row>
    <row r="697" ht="15.75" customHeight="1">
      <c r="P697" s="83"/>
    </row>
    <row r="698" ht="15.75" customHeight="1">
      <c r="P698" s="83"/>
    </row>
    <row r="699" ht="15.75" customHeight="1">
      <c r="P699" s="83"/>
    </row>
    <row r="700" ht="15.75" customHeight="1">
      <c r="P700" s="83"/>
    </row>
    <row r="701" ht="15.75" customHeight="1">
      <c r="P701" s="83"/>
    </row>
    <row r="702" ht="15.75" customHeight="1">
      <c r="P702" s="83"/>
    </row>
    <row r="703" ht="15.75" customHeight="1">
      <c r="P703" s="83"/>
    </row>
    <row r="704" ht="15.75" customHeight="1">
      <c r="P704" s="83"/>
    </row>
    <row r="705" ht="15.75" customHeight="1">
      <c r="P705" s="83"/>
    </row>
    <row r="706" ht="15.75" customHeight="1">
      <c r="P706" s="83"/>
    </row>
    <row r="707" ht="15.75" customHeight="1">
      <c r="P707" s="83"/>
    </row>
    <row r="708" ht="15.75" customHeight="1">
      <c r="P708" s="83"/>
    </row>
    <row r="709" ht="15.75" customHeight="1">
      <c r="P709" s="83"/>
    </row>
    <row r="710" ht="15.75" customHeight="1">
      <c r="P710" s="83"/>
    </row>
    <row r="711" ht="15.75" customHeight="1">
      <c r="P711" s="83"/>
    </row>
    <row r="712" ht="15.75" customHeight="1">
      <c r="P712" s="83"/>
    </row>
    <row r="713" ht="15.75" customHeight="1">
      <c r="P713" s="83"/>
    </row>
    <row r="714" ht="15.75" customHeight="1">
      <c r="P714" s="83"/>
    </row>
    <row r="715" ht="15.75" customHeight="1">
      <c r="P715" s="83"/>
    </row>
    <row r="716" ht="15.75" customHeight="1">
      <c r="P716" s="83"/>
    </row>
    <row r="717" ht="15.75" customHeight="1">
      <c r="P717" s="83"/>
    </row>
    <row r="718" ht="15.75" customHeight="1">
      <c r="P718" s="83"/>
    </row>
    <row r="719" ht="15.75" customHeight="1">
      <c r="P719" s="83"/>
    </row>
    <row r="720" ht="15.75" customHeight="1">
      <c r="P720" s="83"/>
    </row>
    <row r="721" ht="15.75" customHeight="1">
      <c r="P721" s="83"/>
    </row>
    <row r="722" ht="15.75" customHeight="1">
      <c r="P722" s="83"/>
    </row>
    <row r="723" ht="15.75" customHeight="1">
      <c r="P723" s="83"/>
    </row>
    <row r="724" ht="15.75" customHeight="1">
      <c r="P724" s="83"/>
    </row>
    <row r="725" ht="15.75" customHeight="1">
      <c r="P725" s="83"/>
    </row>
    <row r="726" ht="15.75" customHeight="1">
      <c r="P726" s="83"/>
    </row>
    <row r="727" ht="15.75" customHeight="1">
      <c r="P727" s="83"/>
    </row>
    <row r="728" ht="15.75" customHeight="1">
      <c r="P728" s="83"/>
    </row>
    <row r="729" ht="15.75" customHeight="1">
      <c r="P729" s="83"/>
    </row>
    <row r="730" ht="15.75" customHeight="1">
      <c r="P730" s="83"/>
    </row>
    <row r="731" ht="15.75" customHeight="1">
      <c r="P731" s="83"/>
    </row>
    <row r="732" ht="15.75" customHeight="1">
      <c r="P732" s="83"/>
    </row>
    <row r="733" ht="15.75" customHeight="1">
      <c r="P733" s="83"/>
    </row>
    <row r="734" ht="15.75" customHeight="1">
      <c r="P734" s="83"/>
    </row>
    <row r="735" ht="15.75" customHeight="1">
      <c r="P735" s="83"/>
    </row>
    <row r="736" ht="15.75" customHeight="1">
      <c r="P736" s="83"/>
    </row>
    <row r="737" ht="15.75" customHeight="1">
      <c r="P737" s="83"/>
    </row>
    <row r="738" ht="15.75" customHeight="1">
      <c r="P738" s="83"/>
    </row>
    <row r="739" ht="15.75" customHeight="1">
      <c r="P739" s="83"/>
    </row>
    <row r="740" ht="15.75" customHeight="1">
      <c r="P740" s="83"/>
    </row>
    <row r="741" ht="15.75" customHeight="1">
      <c r="P741" s="83"/>
    </row>
    <row r="742" ht="15.75" customHeight="1">
      <c r="P742" s="83"/>
    </row>
    <row r="743" ht="15.75" customHeight="1">
      <c r="P743" s="83"/>
    </row>
    <row r="744" ht="15.75" customHeight="1">
      <c r="P744" s="83"/>
    </row>
    <row r="745" ht="15.75" customHeight="1">
      <c r="P745" s="83"/>
    </row>
    <row r="746" ht="15.75" customHeight="1">
      <c r="P746" s="83"/>
    </row>
    <row r="747" ht="15.75" customHeight="1">
      <c r="P747" s="83"/>
    </row>
    <row r="748" ht="15.75" customHeight="1">
      <c r="P748" s="83"/>
    </row>
    <row r="749" ht="15.75" customHeight="1">
      <c r="P749" s="83"/>
    </row>
    <row r="750" ht="15.75" customHeight="1">
      <c r="P750" s="83"/>
    </row>
    <row r="751" ht="15.75" customHeight="1">
      <c r="P751" s="83"/>
    </row>
    <row r="752" ht="15.75" customHeight="1">
      <c r="P752" s="83"/>
    </row>
    <row r="753" ht="15.75" customHeight="1">
      <c r="P753" s="83"/>
    </row>
    <row r="754" ht="15.75" customHeight="1">
      <c r="P754" s="83"/>
    </row>
    <row r="755" ht="15.75" customHeight="1">
      <c r="P755" s="83"/>
    </row>
    <row r="756" ht="15.75" customHeight="1">
      <c r="P756" s="83"/>
    </row>
    <row r="757" ht="15.75" customHeight="1">
      <c r="P757" s="83"/>
    </row>
    <row r="758" ht="15.75" customHeight="1">
      <c r="P758" s="83"/>
    </row>
    <row r="759" ht="15.75" customHeight="1">
      <c r="P759" s="83"/>
    </row>
    <row r="760" ht="15.75" customHeight="1">
      <c r="P760" s="83"/>
    </row>
    <row r="761" ht="15.75" customHeight="1">
      <c r="P761" s="83"/>
    </row>
    <row r="762" ht="15.75" customHeight="1">
      <c r="P762" s="83"/>
    </row>
    <row r="763" ht="15.75" customHeight="1">
      <c r="P763" s="83"/>
    </row>
    <row r="764" ht="15.75" customHeight="1">
      <c r="P764" s="83"/>
    </row>
    <row r="765" ht="15.75" customHeight="1">
      <c r="P765" s="83"/>
    </row>
    <row r="766" ht="15.75" customHeight="1">
      <c r="P766" s="83"/>
    </row>
    <row r="767" ht="15.75" customHeight="1">
      <c r="P767" s="83"/>
    </row>
    <row r="768" ht="15.75" customHeight="1">
      <c r="P768" s="83"/>
    </row>
    <row r="769" ht="15.75" customHeight="1">
      <c r="P769" s="83"/>
    </row>
    <row r="770" ht="15.75" customHeight="1">
      <c r="P770" s="83"/>
    </row>
    <row r="771" ht="15.75" customHeight="1">
      <c r="P771" s="83"/>
    </row>
    <row r="772" ht="15.75" customHeight="1">
      <c r="P772" s="83"/>
    </row>
    <row r="773" ht="15.75" customHeight="1">
      <c r="P773" s="83"/>
    </row>
    <row r="774" ht="15.75" customHeight="1">
      <c r="P774" s="83"/>
    </row>
    <row r="775" ht="15.75" customHeight="1">
      <c r="P775" s="83"/>
    </row>
    <row r="776" ht="15.75" customHeight="1">
      <c r="P776" s="83"/>
    </row>
    <row r="777" ht="15.75" customHeight="1">
      <c r="P777" s="83"/>
    </row>
    <row r="778" ht="15.75" customHeight="1">
      <c r="P778" s="83"/>
    </row>
    <row r="779" ht="15.75" customHeight="1">
      <c r="P779" s="83"/>
    </row>
    <row r="780" ht="15.75" customHeight="1">
      <c r="P780" s="83"/>
    </row>
    <row r="781" ht="15.75" customHeight="1">
      <c r="P781" s="83"/>
    </row>
    <row r="782" ht="15.75" customHeight="1">
      <c r="P782" s="83"/>
    </row>
    <row r="783" ht="15.75" customHeight="1">
      <c r="P783" s="83"/>
    </row>
    <row r="784" ht="15.75" customHeight="1">
      <c r="P784" s="83"/>
    </row>
    <row r="785" ht="15.75" customHeight="1">
      <c r="P785" s="83"/>
    </row>
    <row r="786" ht="15.75" customHeight="1">
      <c r="P786" s="83"/>
    </row>
    <row r="787" ht="15.75" customHeight="1">
      <c r="P787" s="83"/>
    </row>
    <row r="788" ht="15.75" customHeight="1">
      <c r="P788" s="83"/>
    </row>
    <row r="789" ht="15.75" customHeight="1">
      <c r="P789" s="83"/>
    </row>
    <row r="790" ht="15.75" customHeight="1">
      <c r="P790" s="83"/>
    </row>
    <row r="791" ht="15.75" customHeight="1">
      <c r="P791" s="83"/>
    </row>
    <row r="792" ht="15.75" customHeight="1">
      <c r="P792" s="83"/>
    </row>
    <row r="793" ht="15.75" customHeight="1">
      <c r="P793" s="83"/>
    </row>
    <row r="794" ht="15.75" customHeight="1">
      <c r="P794" s="83"/>
    </row>
    <row r="795" ht="15.75" customHeight="1">
      <c r="P795" s="83"/>
    </row>
    <row r="796" ht="15.75" customHeight="1">
      <c r="P796" s="83"/>
    </row>
    <row r="797" ht="15.75" customHeight="1">
      <c r="P797" s="83"/>
    </row>
    <row r="798" ht="15.75" customHeight="1">
      <c r="P798" s="83"/>
    </row>
    <row r="799" ht="15.75" customHeight="1">
      <c r="P799" s="83"/>
    </row>
    <row r="800" ht="15.75" customHeight="1">
      <c r="P800" s="83"/>
    </row>
    <row r="801" ht="15.75" customHeight="1">
      <c r="P801" s="83"/>
    </row>
    <row r="802" ht="15.75" customHeight="1">
      <c r="P802" s="83"/>
    </row>
    <row r="803" ht="15.75" customHeight="1">
      <c r="P803" s="83"/>
    </row>
    <row r="804" ht="15.75" customHeight="1">
      <c r="P804" s="83"/>
    </row>
    <row r="805" ht="15.75" customHeight="1">
      <c r="P805" s="83"/>
    </row>
    <row r="806" ht="15.75" customHeight="1">
      <c r="P806" s="83"/>
    </row>
    <row r="807" ht="15.75" customHeight="1">
      <c r="P807" s="83"/>
    </row>
    <row r="808" ht="15.75" customHeight="1">
      <c r="P808" s="83"/>
    </row>
    <row r="809" ht="15.75" customHeight="1">
      <c r="P809" s="83"/>
    </row>
    <row r="810" ht="15.75" customHeight="1">
      <c r="P810" s="83"/>
    </row>
    <row r="811" ht="15.75" customHeight="1">
      <c r="P811" s="83"/>
    </row>
    <row r="812" ht="15.75" customHeight="1">
      <c r="P812" s="83"/>
    </row>
    <row r="813" ht="15.75" customHeight="1">
      <c r="P813" s="83"/>
    </row>
    <row r="814" ht="15.75" customHeight="1">
      <c r="P814" s="83"/>
    </row>
    <row r="815" ht="15.75" customHeight="1">
      <c r="P815" s="83"/>
    </row>
    <row r="816" ht="15.75" customHeight="1">
      <c r="P816" s="83"/>
    </row>
    <row r="817" ht="15.75" customHeight="1">
      <c r="P817" s="83"/>
    </row>
    <row r="818" ht="15.75" customHeight="1">
      <c r="P818" s="83"/>
    </row>
    <row r="819" ht="15.75" customHeight="1">
      <c r="P819" s="83"/>
    </row>
    <row r="820" ht="15.75" customHeight="1">
      <c r="P820" s="83"/>
    </row>
    <row r="821" ht="15.75" customHeight="1">
      <c r="P821" s="83"/>
    </row>
    <row r="822" ht="15.75" customHeight="1">
      <c r="P822" s="83"/>
    </row>
    <row r="823" ht="15.75" customHeight="1">
      <c r="P823" s="83"/>
    </row>
    <row r="824" ht="15.75" customHeight="1">
      <c r="P824" s="83"/>
    </row>
    <row r="825" ht="15.75" customHeight="1">
      <c r="P825" s="83"/>
    </row>
    <row r="826" ht="15.75" customHeight="1">
      <c r="P826" s="83"/>
    </row>
    <row r="827" ht="15.75" customHeight="1">
      <c r="P827" s="83"/>
    </row>
    <row r="828" ht="15.75" customHeight="1">
      <c r="P828" s="83"/>
    </row>
    <row r="829" ht="15.75" customHeight="1">
      <c r="P829" s="83"/>
    </row>
    <row r="830" ht="15.75" customHeight="1">
      <c r="P830" s="83"/>
    </row>
    <row r="831" ht="15.75" customHeight="1">
      <c r="P831" s="83"/>
    </row>
    <row r="832" ht="15.75" customHeight="1">
      <c r="P832" s="83"/>
    </row>
    <row r="833" ht="15.75" customHeight="1">
      <c r="P833" s="83"/>
    </row>
    <row r="834" ht="15.75" customHeight="1">
      <c r="P834" s="83"/>
    </row>
    <row r="835" ht="15.75" customHeight="1">
      <c r="P835" s="83"/>
    </row>
    <row r="836" ht="15.75" customHeight="1">
      <c r="P836" s="83"/>
    </row>
    <row r="837" ht="15.75" customHeight="1">
      <c r="P837" s="83"/>
    </row>
    <row r="838" ht="15.75" customHeight="1">
      <c r="P838" s="83"/>
    </row>
    <row r="839" ht="15.75" customHeight="1">
      <c r="P839" s="83"/>
    </row>
    <row r="840" ht="15.75" customHeight="1">
      <c r="P840" s="83"/>
    </row>
    <row r="841" ht="15.75" customHeight="1">
      <c r="P841" s="83"/>
    </row>
    <row r="842" ht="15.75" customHeight="1">
      <c r="P842" s="83"/>
    </row>
    <row r="843" ht="15.75" customHeight="1">
      <c r="P843" s="83"/>
    </row>
    <row r="844" ht="15.75" customHeight="1">
      <c r="P844" s="83"/>
    </row>
    <row r="845" ht="15.75" customHeight="1">
      <c r="P845" s="83"/>
    </row>
    <row r="846" ht="15.75" customHeight="1">
      <c r="P846" s="83"/>
    </row>
    <row r="847" ht="15.75" customHeight="1">
      <c r="P847" s="83"/>
    </row>
    <row r="848" ht="15.75" customHeight="1">
      <c r="P848" s="83"/>
    </row>
    <row r="849" ht="15.75" customHeight="1">
      <c r="P849" s="83"/>
    </row>
    <row r="850" ht="15.75" customHeight="1">
      <c r="P850" s="83"/>
    </row>
    <row r="851" ht="15.75" customHeight="1">
      <c r="P851" s="83"/>
    </row>
    <row r="852" ht="15.75" customHeight="1">
      <c r="P852" s="83"/>
    </row>
    <row r="853" ht="15.75" customHeight="1">
      <c r="P853" s="83"/>
    </row>
    <row r="854" ht="15.75" customHeight="1">
      <c r="P854" s="83"/>
    </row>
    <row r="855" ht="15.75" customHeight="1">
      <c r="P855" s="83"/>
    </row>
    <row r="856" ht="15.75" customHeight="1">
      <c r="P856" s="83"/>
    </row>
    <row r="857" ht="15.75" customHeight="1">
      <c r="P857" s="83"/>
    </row>
    <row r="858" ht="15.75" customHeight="1">
      <c r="P858" s="83"/>
    </row>
    <row r="859" ht="15.75" customHeight="1">
      <c r="P859" s="83"/>
    </row>
    <row r="860" ht="15.75" customHeight="1">
      <c r="P860" s="83"/>
    </row>
    <row r="861" ht="15.75" customHeight="1">
      <c r="P861" s="83"/>
    </row>
    <row r="862" ht="15.75" customHeight="1">
      <c r="P862" s="83"/>
    </row>
    <row r="863" ht="15.75" customHeight="1">
      <c r="P863" s="83"/>
    </row>
    <row r="864" ht="15.75" customHeight="1">
      <c r="P864" s="83"/>
    </row>
    <row r="865" ht="15.75" customHeight="1">
      <c r="P865" s="83"/>
    </row>
    <row r="866" ht="15.75" customHeight="1">
      <c r="P866" s="83"/>
    </row>
    <row r="867" ht="15.75" customHeight="1">
      <c r="P867" s="83"/>
    </row>
    <row r="868" ht="15.75" customHeight="1">
      <c r="P868" s="83"/>
    </row>
    <row r="869" ht="15.75" customHeight="1">
      <c r="P869" s="83"/>
    </row>
    <row r="870" ht="15.75" customHeight="1">
      <c r="P870" s="83"/>
    </row>
    <row r="871" ht="15.75" customHeight="1">
      <c r="P871" s="83"/>
    </row>
    <row r="872" ht="15.75" customHeight="1">
      <c r="P872" s="83"/>
    </row>
    <row r="873" ht="15.75" customHeight="1">
      <c r="P873" s="83"/>
    </row>
    <row r="874" ht="15.75" customHeight="1">
      <c r="P874" s="83"/>
    </row>
    <row r="875" ht="15.75" customHeight="1">
      <c r="P875" s="83"/>
    </row>
    <row r="876" ht="15.75" customHeight="1">
      <c r="P876" s="83"/>
    </row>
    <row r="877" ht="15.75" customHeight="1">
      <c r="P877" s="83"/>
    </row>
    <row r="878" ht="15.75" customHeight="1">
      <c r="P878" s="83"/>
    </row>
    <row r="879" ht="15.75" customHeight="1">
      <c r="P879" s="83"/>
    </row>
    <row r="880" ht="15.75" customHeight="1">
      <c r="P880" s="83"/>
    </row>
    <row r="881" ht="15.75" customHeight="1">
      <c r="P881" s="83"/>
    </row>
    <row r="882" ht="15.75" customHeight="1">
      <c r="P882" s="83"/>
    </row>
    <row r="883" ht="15.75" customHeight="1">
      <c r="P883" s="83"/>
    </row>
    <row r="884" ht="15.75" customHeight="1">
      <c r="P884" s="83"/>
    </row>
    <row r="885" ht="15.75" customHeight="1">
      <c r="P885" s="83"/>
    </row>
    <row r="886" ht="15.75" customHeight="1">
      <c r="P886" s="83"/>
    </row>
    <row r="887" ht="15.75" customHeight="1">
      <c r="P887" s="83"/>
    </row>
    <row r="888" ht="15.75" customHeight="1">
      <c r="P888" s="83"/>
    </row>
    <row r="889" ht="15.75" customHeight="1">
      <c r="P889" s="83"/>
    </row>
    <row r="890" ht="15.75" customHeight="1">
      <c r="P890" s="83"/>
    </row>
    <row r="891" ht="15.75" customHeight="1">
      <c r="P891" s="83"/>
    </row>
    <row r="892" ht="15.75" customHeight="1">
      <c r="P892" s="83"/>
    </row>
    <row r="893" ht="15.75" customHeight="1">
      <c r="P893" s="83"/>
    </row>
    <row r="894" ht="15.75" customHeight="1">
      <c r="P894" s="83"/>
    </row>
    <row r="895" ht="15.75" customHeight="1">
      <c r="P895" s="83"/>
    </row>
    <row r="896" ht="15.75" customHeight="1">
      <c r="P896" s="83"/>
    </row>
    <row r="897" ht="15.75" customHeight="1">
      <c r="P897" s="83"/>
    </row>
    <row r="898" ht="15.75" customHeight="1">
      <c r="P898" s="83"/>
    </row>
    <row r="899" ht="15.75" customHeight="1">
      <c r="P899" s="83"/>
    </row>
    <row r="900" ht="15.75" customHeight="1">
      <c r="P900" s="83"/>
    </row>
    <row r="901" ht="15.75" customHeight="1">
      <c r="P901" s="83"/>
    </row>
    <row r="902" ht="15.75" customHeight="1">
      <c r="P902" s="83"/>
    </row>
    <row r="903" ht="15.75" customHeight="1">
      <c r="P903" s="83"/>
    </row>
    <row r="904" ht="15.75" customHeight="1">
      <c r="P904" s="83"/>
    </row>
    <row r="905" ht="15.75" customHeight="1">
      <c r="P905" s="83"/>
    </row>
    <row r="906" ht="15.75" customHeight="1">
      <c r="P906" s="83"/>
    </row>
    <row r="907" ht="15.75" customHeight="1">
      <c r="P907" s="83"/>
    </row>
    <row r="908" ht="15.75" customHeight="1">
      <c r="P908" s="83"/>
    </row>
    <row r="909" ht="15.75" customHeight="1">
      <c r="P909" s="83"/>
    </row>
    <row r="910" ht="15.75" customHeight="1">
      <c r="P910" s="83"/>
    </row>
    <row r="911" ht="15.75" customHeight="1">
      <c r="P911" s="83"/>
    </row>
    <row r="912" ht="15.75" customHeight="1">
      <c r="P912" s="83"/>
    </row>
    <row r="913" ht="15.75" customHeight="1">
      <c r="P913" s="83"/>
    </row>
    <row r="914" ht="15.75" customHeight="1">
      <c r="P914" s="83"/>
    </row>
    <row r="915" ht="15.75" customHeight="1">
      <c r="P915" s="83"/>
    </row>
    <row r="916" ht="15.75" customHeight="1">
      <c r="P916" s="83"/>
    </row>
    <row r="917" ht="15.75" customHeight="1">
      <c r="P917" s="83"/>
    </row>
    <row r="918" ht="15.75" customHeight="1">
      <c r="P918" s="83"/>
    </row>
    <row r="919" ht="15.75" customHeight="1">
      <c r="P919" s="83"/>
    </row>
    <row r="920" ht="15.75" customHeight="1">
      <c r="P920" s="83"/>
    </row>
    <row r="921" ht="15.75" customHeight="1">
      <c r="P921" s="83"/>
    </row>
    <row r="922" ht="15.75" customHeight="1">
      <c r="P922" s="83"/>
    </row>
    <row r="923" ht="15.75" customHeight="1">
      <c r="P923" s="83"/>
    </row>
    <row r="924" ht="15.75" customHeight="1">
      <c r="P924" s="83"/>
    </row>
    <row r="925" ht="15.75" customHeight="1">
      <c r="P925" s="83"/>
    </row>
    <row r="926" ht="15.75" customHeight="1">
      <c r="P926" s="83"/>
    </row>
    <row r="927" ht="15.75" customHeight="1">
      <c r="P927" s="83"/>
    </row>
    <row r="928" ht="15.75" customHeight="1">
      <c r="P928" s="83"/>
    </row>
    <row r="929" ht="15.75" customHeight="1">
      <c r="P929" s="83"/>
    </row>
    <row r="930" ht="15.75" customHeight="1">
      <c r="P930" s="83"/>
    </row>
    <row r="931" ht="15.75" customHeight="1">
      <c r="P931" s="83"/>
    </row>
    <row r="932" ht="15.75" customHeight="1">
      <c r="P932" s="83"/>
    </row>
    <row r="933" ht="15.75" customHeight="1">
      <c r="P933" s="83"/>
    </row>
    <row r="934" ht="15.75" customHeight="1">
      <c r="P934" s="83"/>
    </row>
    <row r="935" ht="15.75" customHeight="1">
      <c r="P935" s="83"/>
    </row>
    <row r="936" ht="15.75" customHeight="1">
      <c r="P936" s="83"/>
    </row>
    <row r="937" ht="15.75" customHeight="1">
      <c r="P937" s="83"/>
    </row>
    <row r="938" ht="15.75" customHeight="1">
      <c r="P938" s="83"/>
    </row>
    <row r="939" ht="15.75" customHeight="1">
      <c r="P939" s="83"/>
    </row>
    <row r="940" ht="15.75" customHeight="1">
      <c r="P940" s="83"/>
    </row>
    <row r="941" ht="15.75" customHeight="1">
      <c r="P941" s="83"/>
    </row>
    <row r="942" ht="15.75" customHeight="1">
      <c r="P942" s="83"/>
    </row>
    <row r="943" ht="15.75" customHeight="1">
      <c r="P943" s="83"/>
    </row>
    <row r="944" ht="15.75" customHeight="1">
      <c r="P944" s="83"/>
    </row>
    <row r="945" ht="15.75" customHeight="1">
      <c r="P945" s="83"/>
    </row>
    <row r="946" ht="15.75" customHeight="1">
      <c r="P946" s="83"/>
    </row>
    <row r="947" ht="15.75" customHeight="1">
      <c r="P947" s="83"/>
    </row>
    <row r="948" ht="15.75" customHeight="1">
      <c r="P948" s="83"/>
    </row>
    <row r="949" ht="15.75" customHeight="1">
      <c r="P949" s="83"/>
    </row>
    <row r="950" ht="15.75" customHeight="1">
      <c r="P950" s="83"/>
    </row>
    <row r="951" ht="15.75" customHeight="1">
      <c r="P951" s="83"/>
    </row>
    <row r="952" ht="15.75" customHeight="1">
      <c r="P952" s="83"/>
    </row>
    <row r="953" ht="15.75" customHeight="1">
      <c r="P953" s="83"/>
    </row>
    <row r="954" ht="15.75" customHeight="1">
      <c r="P954" s="83"/>
    </row>
    <row r="955" ht="15.75" customHeight="1">
      <c r="P955" s="83"/>
    </row>
    <row r="956" ht="15.75" customHeight="1">
      <c r="P956" s="83"/>
    </row>
    <row r="957" ht="15.75" customHeight="1">
      <c r="P957" s="83"/>
    </row>
    <row r="958" ht="15.75" customHeight="1">
      <c r="P958" s="83"/>
    </row>
    <row r="959" ht="15.75" customHeight="1">
      <c r="P959" s="83"/>
    </row>
    <row r="960" ht="15.75" customHeight="1">
      <c r="P960" s="83"/>
    </row>
    <row r="961" ht="15.75" customHeight="1">
      <c r="P961" s="83"/>
    </row>
    <row r="962" ht="15.75" customHeight="1">
      <c r="P962" s="83"/>
    </row>
    <row r="963" ht="15.75" customHeight="1">
      <c r="P963" s="83"/>
    </row>
    <row r="964" ht="15.75" customHeight="1">
      <c r="P964" s="83"/>
    </row>
    <row r="965" ht="15.75" customHeight="1">
      <c r="P965" s="83"/>
    </row>
    <row r="966" ht="15.75" customHeight="1">
      <c r="P966" s="83"/>
    </row>
    <row r="967" ht="15.75" customHeight="1">
      <c r="P967" s="83"/>
    </row>
    <row r="968" ht="15.75" customHeight="1">
      <c r="P968" s="83"/>
    </row>
    <row r="969" ht="15.75" customHeight="1">
      <c r="P969" s="83"/>
    </row>
    <row r="970" ht="15.75" customHeight="1">
      <c r="P970" s="83"/>
    </row>
    <row r="971" ht="15.75" customHeight="1">
      <c r="P971" s="83"/>
    </row>
    <row r="972" ht="15.75" customHeight="1">
      <c r="P972" s="83"/>
    </row>
    <row r="973" ht="15.75" customHeight="1">
      <c r="P973" s="83"/>
    </row>
    <row r="974" ht="15.75" customHeight="1">
      <c r="P974" s="83"/>
    </row>
    <row r="975" ht="15.75" customHeight="1">
      <c r="P975" s="83"/>
    </row>
    <row r="976" ht="15.75" customHeight="1">
      <c r="P976" s="83"/>
    </row>
    <row r="977" ht="15.75" customHeight="1">
      <c r="P977" s="83"/>
    </row>
    <row r="978" ht="15.75" customHeight="1">
      <c r="P978" s="83"/>
    </row>
    <row r="979" ht="15.75" customHeight="1">
      <c r="P979" s="83"/>
    </row>
    <row r="980" ht="15.75" customHeight="1">
      <c r="P980" s="83"/>
    </row>
    <row r="981" ht="15.75" customHeight="1">
      <c r="P981" s="83"/>
    </row>
    <row r="982" ht="15.75" customHeight="1">
      <c r="P982" s="83"/>
    </row>
    <row r="983" ht="15.75" customHeight="1">
      <c r="P983" s="83"/>
    </row>
    <row r="984" ht="15.75" customHeight="1">
      <c r="P984" s="83"/>
    </row>
    <row r="985" ht="15.75" customHeight="1">
      <c r="P985" s="83"/>
    </row>
    <row r="986" ht="15.75" customHeight="1">
      <c r="P986" s="83"/>
    </row>
    <row r="987" ht="15.75" customHeight="1">
      <c r="P987" s="83"/>
    </row>
    <row r="988" ht="15.75" customHeight="1">
      <c r="P988" s="83"/>
    </row>
    <row r="989" ht="15.75" customHeight="1">
      <c r="P989" s="83"/>
    </row>
    <row r="990" ht="15.75" customHeight="1">
      <c r="P990" s="83"/>
    </row>
    <row r="991" ht="15.75" customHeight="1">
      <c r="P991" s="83"/>
    </row>
    <row r="992" ht="15.75" customHeight="1">
      <c r="P992" s="83"/>
    </row>
    <row r="993" ht="15.75" customHeight="1">
      <c r="P993" s="83"/>
    </row>
    <row r="994" ht="15.75" customHeight="1">
      <c r="P994" s="83"/>
    </row>
    <row r="995" ht="15.75" customHeight="1">
      <c r="P995" s="83"/>
    </row>
    <row r="996" ht="15.75" customHeight="1">
      <c r="P996" s="83"/>
    </row>
    <row r="997" ht="15.75" customHeight="1">
      <c r="P997" s="83"/>
    </row>
    <row r="998" ht="15.75" customHeight="1">
      <c r="P998" s="83"/>
    </row>
    <row r="999" ht="15.75" customHeight="1">
      <c r="P999" s="83"/>
    </row>
    <row r="1000" ht="15.75" customHeight="1">
      <c r="P1000" s="83"/>
    </row>
    <row r="1001" ht="15.75" customHeight="1">
      <c r="P1001" s="83"/>
    </row>
  </sheetData>
  <autoFilter ref="$A$1:$Z$1001">
    <filterColumn colId="17">
      <filters blank="1">
        <filter val="ACTIVO"/>
      </filters>
    </filterColumn>
  </autoFilter>
  <customSheetViews>
    <customSheetView guid="{894FDF7D-FB71-4D92-BF0F-84F25232B3B0}" filter="1" showAutoFilter="1">
      <autoFilter ref="$A$1:$U$60"/>
      <extLst>
        <ext uri="GoogleSheetsCustomDataVersion1">
          <go:sheetsCustomData xmlns:go="http://customooxmlschemas.google.com/" filterViewId="102537353"/>
        </ext>
      </extLst>
    </customSheetView>
    <customSheetView guid="{C6DA5E86-A523-4D32-A786-370B8D1A2190}" filter="1" showAutoFilter="1">
      <autoFilter ref="$A$1:$U$60"/>
      <extLst>
        <ext uri="GoogleSheetsCustomDataVersion1">
          <go:sheetsCustomData xmlns:go="http://customooxmlschemas.google.com/" filterViewId="1039101307"/>
        </ext>
      </extLst>
    </customSheetView>
    <customSheetView guid="{D20045A7-0E24-4016-9BB2-CC402E6A1C1E}" filter="1" showAutoFilter="1">
      <autoFilter ref="$A$1:$U$60"/>
      <extLst>
        <ext uri="GoogleSheetsCustomDataVersion1">
          <go:sheetsCustomData xmlns:go="http://customooxmlschemas.google.com/" filterViewId="1106866427"/>
        </ext>
      </extLst>
    </customSheetView>
    <customSheetView guid="{D9DC8239-FF36-474A-883A-9320A116001D}" filter="1" showAutoFilter="1">
      <autoFilter ref="$A$1:$U$868">
        <filterColumn colId="14">
          <filters>
            <filter val="19/2/2021"/>
            <filter val="19/8/2022"/>
            <filter val="7/1/2021"/>
            <filter val="10/3/2020"/>
            <filter val="16/8/2021"/>
            <filter val="1/07/2020"/>
            <filter val="4/8/2022"/>
            <filter val="1/02/2020"/>
            <filter val="1/10/2020"/>
            <filter val="1/01/2024"/>
            <filter val="16/3/2022"/>
            <filter val="1/02/2021"/>
            <filter val="1/08/2022"/>
            <filter val="16/09/2022"/>
            <filter val="11/01/2021"/>
            <filter val="28/1/2022"/>
            <filter val="28/4/2021"/>
            <filter val="20/10/2020"/>
            <filter val="8/12/2021"/>
            <filter val="05/2/2021"/>
            <filter val="16/5/2021"/>
            <filter val="10/2/2022"/>
            <filter val="25/8/2020"/>
            <filter val="5/12/2020"/>
            <filter val="08/8/2021"/>
            <filter val="26/2/2021"/>
            <filter val="19/02/2023"/>
            <filter val="15/11/2020"/>
            <filter val="14/05/2021"/>
            <filter val="01/3/2020"/>
            <filter val="15/11/2022"/>
            <filter val="01/3/2021"/>
            <filter val="15/07/2023"/>
            <filter val="20/11/2021"/>
            <filter val="14/04/2022"/>
            <filter val="3/4/2021"/>
            <filter val="04/11/2020"/>
            <filter val="30/7/2021"/>
            <filter val="23/7/2022"/>
            <filter val="16/4/2024"/>
            <filter val="3/5/2019"/>
            <filter val="1/11/2021"/>
            <filter val="30/1/2022"/>
            <filter val="03/11/2020"/>
            <filter val="23/10/2021"/>
            <filter val="01/6/2019"/>
            <filter val="18/9/2020"/>
            <filter val="25/9/2021"/>
            <filter val="13/09/2021"/>
            <filter val="26/04/2013"/>
            <filter val="14/10/2021"/>
            <filter val="14/10/2022"/>
            <filter val="10/12/2021"/>
            <filter val="15/5/2022"/>
            <filter val="24/8/2022"/>
            <filter val="16/02/2020"/>
          </filters>
        </filterColumn>
      </autoFilter>
      <extLst>
        <ext uri="GoogleSheetsCustomDataVersion1">
          <go:sheetsCustomData xmlns:go="http://customooxmlschemas.google.com/" filterViewId="119663450"/>
        </ext>
      </extLst>
    </customSheetView>
    <customSheetView guid="{86635392-0219-4E36-A900-E45102D87378}" filter="1" showAutoFilter="1">
      <autoFilter ref="$A$1:$U$60"/>
      <extLst>
        <ext uri="GoogleSheetsCustomDataVersion1">
          <go:sheetsCustomData xmlns:go="http://customooxmlschemas.google.com/" filterViewId="124833928"/>
        </ext>
      </extLst>
    </customSheetView>
    <customSheetView guid="{98864304-AF39-4EE8-922A-FFA9F96834CD}" filter="1" showAutoFilter="1">
      <autoFilter ref="$A$1:$U$868">
        <filterColumn colId="9">
          <filters>
            <filter val="ROMERO SAS"/>
          </filters>
        </filterColumn>
        <filterColumn colId="10">
          <filters blank="1">
            <filter val="Fijo"/>
            <filter val="Obra labor"/>
          </filters>
        </filterColumn>
      </autoFilter>
      <extLst>
        <ext uri="GoogleSheetsCustomDataVersion1">
          <go:sheetsCustomData xmlns:go="http://customooxmlschemas.google.com/" filterViewId="1289463415"/>
        </ext>
      </extLst>
    </customSheetView>
    <customSheetView guid="{9AF38C0A-9770-49B6-AE7A-4B78D42B3915}" filter="1" showAutoFilter="1">
      <autoFilter ref="$A$1:$U$60"/>
      <extLst>
        <ext uri="GoogleSheetsCustomDataVersion1">
          <go:sheetsCustomData xmlns:go="http://customooxmlschemas.google.com/" filterViewId="1295540485"/>
        </ext>
      </extLst>
    </customSheetView>
    <customSheetView guid="{5CAF20FD-3579-4B38-97EE-7C78EB9D2BF4}" filter="1" showAutoFilter="1">
      <autoFilter ref="$A$1:$U$60"/>
      <extLst>
        <ext uri="GoogleSheetsCustomDataVersion1">
          <go:sheetsCustomData xmlns:go="http://customooxmlschemas.google.com/" filterViewId="1313058095"/>
        </ext>
      </extLst>
    </customSheetView>
    <customSheetView guid="{E6636866-3CB3-4EEE-965A-B696AC9D714E}" filter="1" showAutoFilter="1">
      <autoFilter ref="$A$1:$U$60"/>
      <extLst>
        <ext uri="GoogleSheetsCustomDataVersion1">
          <go:sheetsCustomData xmlns:go="http://customooxmlschemas.google.com/" filterViewId="1446457030"/>
        </ext>
      </extLst>
    </customSheetView>
    <customSheetView guid="{5CFFC52C-C0F6-4961-B11A-E0F09DFBC1B5}" filter="1" showAutoFilter="1">
      <autoFilter ref="$A$1:$U$60"/>
      <extLst>
        <ext uri="GoogleSheetsCustomDataVersion1">
          <go:sheetsCustomData xmlns:go="http://customooxmlschemas.google.com/" filterViewId="1485458541"/>
        </ext>
      </extLst>
    </customSheetView>
    <customSheetView guid="{9E1C7BC5-6722-4997-8385-C5CAAEEEF034}" filter="1" showAutoFilter="1">
      <autoFilter ref="$A$1:$U$60"/>
      <extLst>
        <ext uri="GoogleSheetsCustomDataVersion1">
          <go:sheetsCustomData xmlns:go="http://customooxmlschemas.google.com/" filterViewId="1697498846"/>
        </ext>
      </extLst>
    </customSheetView>
    <customSheetView guid="{BC06ED92-1176-4B6A-B0A8-889C59223381}" filter="1" showAutoFilter="1">
      <autoFilter ref="$A$1:$U$60"/>
      <extLst>
        <ext uri="GoogleSheetsCustomDataVersion1">
          <go:sheetsCustomData xmlns:go="http://customooxmlschemas.google.com/" filterViewId="1925572459"/>
        </ext>
      </extLst>
    </customSheetView>
    <customSheetView guid="{F1C299F4-F4BD-41E2-A61E-A976B75D5B15}" filter="1" showAutoFilter="1">
      <autoFilter ref="$A$1:$U$868"/>
      <extLst>
        <ext uri="GoogleSheetsCustomDataVersion1">
          <go:sheetsCustomData xmlns:go="http://customooxmlschemas.google.com/" filterViewId="192585449"/>
        </ext>
      </extLst>
    </customSheetView>
    <customSheetView guid="{0C5CB766-79BA-4419-A99C-CE29D23D3471}" filter="1" showAutoFilter="1">
      <autoFilter ref="$A$1:$U$60"/>
      <extLst>
        <ext uri="GoogleSheetsCustomDataVersion1">
          <go:sheetsCustomData xmlns:go="http://customooxmlschemas.google.com/" filterViewId="1965657878"/>
        </ext>
      </extLst>
    </customSheetView>
    <customSheetView guid="{8F4697A8-9B3B-4A0C-8541-402E1B0E49F2}" filter="1" showAutoFilter="1">
      <autoFilter ref="$A$1:$U$60"/>
      <extLst>
        <ext uri="GoogleSheetsCustomDataVersion1">
          <go:sheetsCustomData xmlns:go="http://customooxmlschemas.google.com/" filterViewId="2041475840"/>
        </ext>
      </extLst>
    </customSheetView>
    <customSheetView guid="{13C5CAB1-2405-4D56-B35C-CB20D0853C06}" filter="1" showAutoFilter="1">
      <autoFilter ref="$A$1:$U$60">
        <filterColumn colId="17">
          <filters>
            <filter val="ACTIVO"/>
          </filters>
        </filterColumn>
      </autoFilter>
      <extLst>
        <ext uri="GoogleSheetsCustomDataVersion1">
          <go:sheetsCustomData xmlns:go="http://customooxmlschemas.google.com/" filterViewId="310467382"/>
        </ext>
      </extLst>
    </customSheetView>
    <customSheetView guid="{009EECFC-DAEA-473A-B3A4-5443A73F16BC}" filter="1" showAutoFilter="1">
      <autoFilter ref="$A$1:$U$60"/>
      <extLst>
        <ext uri="GoogleSheetsCustomDataVersion1">
          <go:sheetsCustomData xmlns:go="http://customooxmlschemas.google.com/" filterViewId="539780376"/>
        </ext>
      </extLst>
    </customSheetView>
    <customSheetView guid="{59F4AB0D-6ABD-44DA-B6B1-B84B6A7D671A}" filter="1" showAutoFilter="1">
      <autoFilter ref="$A$1:$U$868">
        <filterColumn colId="9">
          <filters>
            <filter val="ROMERO SAS"/>
          </filters>
        </filterColumn>
        <filterColumn colId="10">
          <filters blank="1">
            <filter val="Fijo"/>
            <filter val="Obra labor"/>
          </filters>
        </filterColumn>
      </autoFilter>
      <extLst>
        <ext uri="GoogleSheetsCustomDataVersion1">
          <go:sheetsCustomData xmlns:go="http://customooxmlschemas.google.com/" filterViewId="614289264"/>
        </ext>
      </extLst>
    </customSheetView>
    <customSheetView guid="{70F4BBED-E6C4-44DB-9BAE-40BE6DD2E7F8}" filter="1" showAutoFilter="1">
      <autoFilter ref="$A$1:$U$60"/>
      <extLst>
        <ext uri="GoogleSheetsCustomDataVersion1">
          <go:sheetsCustomData xmlns:go="http://customooxmlschemas.google.com/" filterViewId="616711945"/>
        </ext>
      </extLst>
    </customSheetView>
    <customSheetView guid="{3CCA923D-9A87-4ADF-B705-45CFE672D442}" filter="1" showAutoFilter="1">
      <autoFilter ref="$A$1:$U$868">
        <filterColumn colId="9">
          <filters>
            <filter val="DML SAS"/>
          </filters>
        </filterColumn>
        <filterColumn colId="10">
          <filters blank="1">
            <filter val="Obra labor"/>
            <filter val="Prestacion de servicios"/>
          </filters>
        </filterColumn>
      </autoFilter>
      <extLst>
        <ext uri="GoogleSheetsCustomDataVersion1">
          <go:sheetsCustomData xmlns:go="http://customooxmlschemas.google.com/" filterViewId="636753899"/>
        </ext>
      </extLst>
    </customSheetView>
    <customSheetView guid="{1CBC2092-26F5-44CA-B082-C8B7AA04C070}" filter="1" showAutoFilter="1">
      <autoFilter ref="$A$1:$U$868"/>
      <extLst>
        <ext uri="GoogleSheetsCustomDataVersion1">
          <go:sheetsCustomData xmlns:go="http://customooxmlschemas.google.com/" filterViewId="660744379"/>
        </ext>
      </extLst>
    </customSheetView>
    <customSheetView guid="{81EE57B6-66E7-4671-9BBB-CA54008BD710}" filter="1" showAutoFilter="1">
      <autoFilter ref="$A$1:$U$60"/>
      <extLst>
        <ext uri="GoogleSheetsCustomDataVersion1">
          <go:sheetsCustomData xmlns:go="http://customooxmlschemas.google.com/" filterViewId="765099051"/>
        </ext>
      </extLst>
    </customSheetView>
  </customSheetViews>
  <dataValidations>
    <dataValidation type="list" allowBlank="1" showErrorMessage="1" sqref="L2:L63">
      <formula1>Hoja!$F$2:$F$6</formula1>
    </dataValidation>
    <dataValidation type="list" allowBlank="1" showErrorMessage="1" sqref="I2:I57 I59:I63">
      <formula1>Hoja!$C$2:$C$3</formula1>
    </dataValidation>
    <dataValidation type="list" allowBlank="1" showErrorMessage="1" sqref="N2:N63">
      <formula1>Hoja!$A$2:$A$3</formula1>
    </dataValidation>
    <dataValidation type="list" allowBlank="1" showErrorMessage="1" sqref="M2:M63">
      <formula1>Hoja!$E$2:$E$11</formula1>
    </dataValidation>
    <dataValidation type="list" allowBlank="1" showErrorMessage="1" sqref="U2 U4:U11 U13:U16 U18:U19 U21:U29 U31:U33 U36:U40 U42:U45 U49:U50 U53:U54 R2:R63 U56:U63">
      <formula1>Hoja!$B$2:$B$3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3.25"/>
    <col customWidth="1" min="3" max="3" width="33.63"/>
    <col customWidth="1" min="4" max="4" width="19.75"/>
    <col customWidth="1" min="5" max="5" width="11.5"/>
    <col customWidth="1" min="6" max="6" width="30.75"/>
    <col customWidth="1" min="7" max="7" width="46.75"/>
    <col customWidth="1" min="8" max="8" width="7.38"/>
    <col customWidth="1" min="9" max="9" width="7.13"/>
    <col customWidth="1" min="10" max="10" width="10.13"/>
    <col customWidth="1" min="11" max="11" width="17.0"/>
    <col customWidth="1" min="12" max="12" width="9.13"/>
    <col customWidth="1" min="13" max="13" width="10.0"/>
    <col customWidth="1" min="14" max="14" width="10.13"/>
    <col customWidth="1" min="15" max="15" width="14.63"/>
    <col customWidth="1" min="16" max="16" width="18.13"/>
    <col customWidth="1" min="17" max="17" width="13.5"/>
    <col customWidth="1" min="18" max="18" width="10.5"/>
    <col customWidth="1" min="19" max="19" width="10.38"/>
    <col customWidth="1" min="20" max="20" width="11.75"/>
    <col customWidth="1" min="21" max="21" width="20.5"/>
    <col customWidth="1" min="22" max="26" width="21.25"/>
  </cols>
  <sheetData>
    <row r="1" ht="15.75" customHeight="1">
      <c r="A1" s="85" t="s">
        <v>253</v>
      </c>
      <c r="B1" s="86" t="s">
        <v>1</v>
      </c>
      <c r="C1" s="85" t="s">
        <v>2</v>
      </c>
      <c r="D1" s="87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5" t="s">
        <v>9</v>
      </c>
      <c r="K1" s="88" t="s">
        <v>10</v>
      </c>
      <c r="L1" s="85" t="s">
        <v>11</v>
      </c>
      <c r="M1" s="85" t="s">
        <v>12</v>
      </c>
      <c r="N1" s="85" t="s">
        <v>13</v>
      </c>
      <c r="O1" s="87" t="s">
        <v>14</v>
      </c>
      <c r="P1" s="89" t="s">
        <v>15</v>
      </c>
      <c r="Q1" s="87" t="s">
        <v>16</v>
      </c>
      <c r="R1" s="85" t="s">
        <v>17</v>
      </c>
      <c r="S1" s="85" t="s">
        <v>18</v>
      </c>
      <c r="T1" s="90" t="s">
        <v>19</v>
      </c>
      <c r="U1" s="3" t="s">
        <v>20</v>
      </c>
    </row>
    <row r="2" ht="15.75" hidden="1" customHeight="1">
      <c r="A2" s="36" t="s">
        <v>115</v>
      </c>
      <c r="B2" s="36">
        <v>2.7343749E7</v>
      </c>
      <c r="C2" s="42" t="s">
        <v>254</v>
      </c>
      <c r="D2" s="47">
        <v>36312.0</v>
      </c>
      <c r="E2" s="12">
        <v>3.242389996E9</v>
      </c>
      <c r="F2" s="36" t="s">
        <v>255</v>
      </c>
      <c r="G2" s="12" t="s">
        <v>256</v>
      </c>
      <c r="H2" s="7">
        <f t="shared" ref="H2:H38" si="1">(YEAR(NOW())-YEAR(D2))</f>
        <v>27</v>
      </c>
      <c r="I2" s="12" t="s">
        <v>25</v>
      </c>
      <c r="J2" s="7" t="s">
        <v>26</v>
      </c>
      <c r="K2" s="7" t="s">
        <v>89</v>
      </c>
      <c r="L2" s="7" t="s">
        <v>28</v>
      </c>
      <c r="M2" s="12" t="s">
        <v>61</v>
      </c>
      <c r="N2" s="12" t="s">
        <v>62</v>
      </c>
      <c r="O2" s="91">
        <v>45170.0</v>
      </c>
      <c r="P2" s="92">
        <f t="shared" ref="P2:P5" si="2">O2+90</f>
        <v>45260</v>
      </c>
      <c r="Q2" s="13">
        <v>45216.0</v>
      </c>
      <c r="R2" s="14" t="s">
        <v>31</v>
      </c>
      <c r="S2" s="15">
        <v>1160000.0</v>
      </c>
      <c r="T2" s="15">
        <v>580000.0</v>
      </c>
      <c r="U2" s="14" t="s">
        <v>31</v>
      </c>
    </row>
    <row r="3" ht="15.75" hidden="1" customHeight="1">
      <c r="A3" s="36" t="s">
        <v>115</v>
      </c>
      <c r="B3" s="36">
        <v>2.7000091E7</v>
      </c>
      <c r="C3" s="12" t="s">
        <v>257</v>
      </c>
      <c r="D3" s="47">
        <v>35725.0</v>
      </c>
      <c r="E3" s="12">
        <v>3.224582249E9</v>
      </c>
      <c r="F3" s="93" t="s">
        <v>258</v>
      </c>
      <c r="G3" s="12" t="s">
        <v>259</v>
      </c>
      <c r="H3" s="7">
        <f t="shared" si="1"/>
        <v>29</v>
      </c>
      <c r="I3" s="12" t="s">
        <v>67</v>
      </c>
      <c r="J3" s="7" t="s">
        <v>26</v>
      </c>
      <c r="K3" s="7" t="s">
        <v>89</v>
      </c>
      <c r="L3" s="7" t="s">
        <v>48</v>
      </c>
      <c r="M3" s="12" t="s">
        <v>61</v>
      </c>
      <c r="N3" s="12" t="s">
        <v>62</v>
      </c>
      <c r="O3" s="91">
        <v>45231.0</v>
      </c>
      <c r="P3" s="92">
        <f t="shared" si="2"/>
        <v>45321</v>
      </c>
      <c r="Q3" s="13">
        <v>45291.0</v>
      </c>
      <c r="R3" s="14" t="s">
        <v>31</v>
      </c>
      <c r="S3" s="15">
        <v>1160000.0</v>
      </c>
      <c r="T3" s="15">
        <v>580000.0</v>
      </c>
      <c r="U3" s="14" t="s">
        <v>31</v>
      </c>
    </row>
    <row r="4" ht="15.75" hidden="1" customHeight="1">
      <c r="A4" s="12" t="s">
        <v>260</v>
      </c>
      <c r="B4" s="36">
        <v>1.78890423E8</v>
      </c>
      <c r="C4" s="42" t="s">
        <v>261</v>
      </c>
      <c r="D4" s="94">
        <v>37251.0</v>
      </c>
      <c r="E4" s="12">
        <v>3.232059716E9</v>
      </c>
      <c r="F4" s="36" t="s">
        <v>262</v>
      </c>
      <c r="G4" s="12" t="s">
        <v>259</v>
      </c>
      <c r="H4" s="7">
        <f t="shared" si="1"/>
        <v>25</v>
      </c>
      <c r="I4" s="12" t="s">
        <v>67</v>
      </c>
      <c r="J4" s="7" t="s">
        <v>26</v>
      </c>
      <c r="K4" s="7" t="s">
        <v>89</v>
      </c>
      <c r="L4" s="7" t="s">
        <v>48</v>
      </c>
      <c r="M4" s="12" t="s">
        <v>61</v>
      </c>
      <c r="N4" s="12" t="s">
        <v>62</v>
      </c>
      <c r="O4" s="91">
        <v>45231.0</v>
      </c>
      <c r="P4" s="92">
        <f t="shared" si="2"/>
        <v>45321</v>
      </c>
      <c r="Q4" s="11" t="s">
        <v>263</v>
      </c>
      <c r="R4" s="14" t="s">
        <v>31</v>
      </c>
      <c r="S4" s="15">
        <v>1300000.0</v>
      </c>
      <c r="T4" s="15">
        <v>650000.0</v>
      </c>
      <c r="U4" s="14" t="s">
        <v>31</v>
      </c>
    </row>
    <row r="5" ht="15.75" hidden="1" customHeight="1">
      <c r="A5" s="36" t="s">
        <v>115</v>
      </c>
      <c r="B5" s="36">
        <v>2.7188629E7</v>
      </c>
      <c r="C5" s="42" t="s">
        <v>264</v>
      </c>
      <c r="D5" s="47">
        <v>36417.0</v>
      </c>
      <c r="E5" s="12">
        <v>3.115192165E9</v>
      </c>
      <c r="F5" s="36" t="s">
        <v>265</v>
      </c>
      <c r="G5" s="12" t="s">
        <v>266</v>
      </c>
      <c r="H5" s="95">
        <f t="shared" si="1"/>
        <v>27</v>
      </c>
      <c r="I5" s="12" t="s">
        <v>25</v>
      </c>
      <c r="J5" s="7" t="s">
        <v>26</v>
      </c>
      <c r="K5" s="7" t="s">
        <v>89</v>
      </c>
      <c r="L5" s="7" t="s">
        <v>28</v>
      </c>
      <c r="M5" s="12" t="s">
        <v>61</v>
      </c>
      <c r="N5" s="12" t="s">
        <v>62</v>
      </c>
      <c r="O5" s="91">
        <v>45139.0</v>
      </c>
      <c r="P5" s="92">
        <f t="shared" si="2"/>
        <v>45229</v>
      </c>
      <c r="Q5" s="13">
        <v>45275.0</v>
      </c>
      <c r="R5" s="14" t="s">
        <v>31</v>
      </c>
      <c r="S5" s="15" t="s">
        <v>63</v>
      </c>
      <c r="T5" s="15" t="s">
        <v>63</v>
      </c>
      <c r="U5" s="14" t="s">
        <v>31</v>
      </c>
    </row>
    <row r="6" ht="15.75" hidden="1" customHeight="1">
      <c r="A6" s="11" t="s">
        <v>267</v>
      </c>
      <c r="B6" s="96" t="s">
        <v>268</v>
      </c>
      <c r="C6" s="45" t="s">
        <v>269</v>
      </c>
      <c r="D6" s="46">
        <v>36596.0</v>
      </c>
      <c r="E6" s="97">
        <v>3.13408163E9</v>
      </c>
      <c r="F6" s="97" t="s">
        <v>270</v>
      </c>
      <c r="G6" s="97" t="s">
        <v>271</v>
      </c>
      <c r="H6" s="63">
        <f t="shared" si="1"/>
        <v>26</v>
      </c>
      <c r="I6" s="12" t="s">
        <v>25</v>
      </c>
      <c r="J6" s="7" t="s">
        <v>26</v>
      </c>
      <c r="K6" s="7" t="s">
        <v>89</v>
      </c>
      <c r="L6" s="11" t="s">
        <v>28</v>
      </c>
      <c r="M6" s="12" t="s">
        <v>61</v>
      </c>
      <c r="N6" s="12" t="s">
        <v>62</v>
      </c>
      <c r="O6" s="98">
        <v>45876.0</v>
      </c>
      <c r="P6" s="99">
        <f>O6+60</f>
        <v>45936</v>
      </c>
      <c r="Q6" s="11" t="s">
        <v>272</v>
      </c>
      <c r="R6" s="24" t="s">
        <v>31</v>
      </c>
      <c r="S6" s="100">
        <v>1623500.0</v>
      </c>
      <c r="T6" s="100">
        <v>811750.0</v>
      </c>
      <c r="U6" s="49" t="s">
        <v>229</v>
      </c>
    </row>
    <row r="7" ht="15.75" hidden="1" customHeight="1">
      <c r="A7" s="36" t="s">
        <v>115</v>
      </c>
      <c r="B7" s="36">
        <v>2.1212853E7</v>
      </c>
      <c r="C7" s="42" t="s">
        <v>273</v>
      </c>
      <c r="D7" s="47">
        <v>34332.0</v>
      </c>
      <c r="E7" s="12">
        <v>3.239845674E9</v>
      </c>
      <c r="F7" s="36" t="s">
        <v>274</v>
      </c>
      <c r="G7" s="12" t="s">
        <v>275</v>
      </c>
      <c r="H7" s="7">
        <f t="shared" si="1"/>
        <v>33</v>
      </c>
      <c r="I7" s="12" t="s">
        <v>25</v>
      </c>
      <c r="J7" s="7" t="s">
        <v>26</v>
      </c>
      <c r="K7" s="7" t="s">
        <v>89</v>
      </c>
      <c r="L7" s="7" t="s">
        <v>48</v>
      </c>
      <c r="M7" s="12" t="s">
        <v>61</v>
      </c>
      <c r="N7" s="12" t="s">
        <v>62</v>
      </c>
      <c r="O7" s="91">
        <v>45048.0</v>
      </c>
      <c r="P7" s="92">
        <f t="shared" ref="P7:P9" si="3">O7+90</f>
        <v>45138</v>
      </c>
      <c r="Q7" s="13">
        <v>45185.0</v>
      </c>
      <c r="R7" s="14" t="s">
        <v>31</v>
      </c>
      <c r="S7" s="15">
        <v>1160000.0</v>
      </c>
      <c r="T7" s="15">
        <v>580000.0</v>
      </c>
      <c r="U7" s="14" t="s">
        <v>31</v>
      </c>
    </row>
    <row r="8" ht="15.75" hidden="1" customHeight="1">
      <c r="A8" s="36" t="s">
        <v>115</v>
      </c>
      <c r="B8" s="36">
        <v>1.0088297E7</v>
      </c>
      <c r="C8" s="42" t="s">
        <v>276</v>
      </c>
      <c r="D8" s="47">
        <v>26036.0</v>
      </c>
      <c r="E8" s="12">
        <v>3.241259132E9</v>
      </c>
      <c r="F8" s="36" t="s">
        <v>277</v>
      </c>
      <c r="G8" s="12" t="s">
        <v>278</v>
      </c>
      <c r="H8" s="7">
        <f t="shared" si="1"/>
        <v>55</v>
      </c>
      <c r="I8" s="12" t="s">
        <v>25</v>
      </c>
      <c r="J8" s="7" t="s">
        <v>26</v>
      </c>
      <c r="K8" s="7" t="s">
        <v>89</v>
      </c>
      <c r="L8" s="7" t="s">
        <v>48</v>
      </c>
      <c r="M8" s="12" t="s">
        <v>61</v>
      </c>
      <c r="N8" s="12" t="s">
        <v>62</v>
      </c>
      <c r="O8" s="91">
        <v>45182.0</v>
      </c>
      <c r="P8" s="92">
        <f t="shared" si="3"/>
        <v>45272</v>
      </c>
      <c r="Q8" s="13">
        <v>45351.0</v>
      </c>
      <c r="R8" s="14" t="s">
        <v>31</v>
      </c>
      <c r="S8" s="15">
        <v>1300000.0</v>
      </c>
      <c r="T8" s="15">
        <v>650000.0</v>
      </c>
      <c r="U8" s="14" t="s">
        <v>31</v>
      </c>
    </row>
    <row r="9" ht="15.75" hidden="1" customHeight="1">
      <c r="A9" s="101" t="s">
        <v>50</v>
      </c>
      <c r="B9" s="102">
        <v>1.006235503E9</v>
      </c>
      <c r="C9" s="62" t="s">
        <v>279</v>
      </c>
      <c r="D9" s="103">
        <v>36989.0</v>
      </c>
      <c r="E9" s="62">
        <v>3.239815676E9</v>
      </c>
      <c r="F9" s="102" t="s">
        <v>280</v>
      </c>
      <c r="G9" s="62" t="s">
        <v>281</v>
      </c>
      <c r="H9" s="60">
        <f t="shared" si="1"/>
        <v>25</v>
      </c>
      <c r="I9" s="12" t="s">
        <v>67</v>
      </c>
      <c r="J9" s="7" t="s">
        <v>26</v>
      </c>
      <c r="K9" s="60" t="s">
        <v>89</v>
      </c>
      <c r="L9" s="7" t="s">
        <v>28</v>
      </c>
      <c r="M9" s="12" t="s">
        <v>61</v>
      </c>
      <c r="N9" s="12" t="s">
        <v>62</v>
      </c>
      <c r="O9" s="104">
        <v>45138.0</v>
      </c>
      <c r="P9" s="105">
        <f t="shared" si="3"/>
        <v>45228</v>
      </c>
      <c r="Q9" s="13">
        <v>45183.0</v>
      </c>
      <c r="R9" s="14" t="s">
        <v>31</v>
      </c>
      <c r="S9" s="106">
        <v>1160000.0</v>
      </c>
      <c r="T9" s="106">
        <v>580000.0</v>
      </c>
      <c r="U9" s="14" t="s">
        <v>31</v>
      </c>
    </row>
    <row r="10" ht="15.75" hidden="1" customHeight="1">
      <c r="A10" s="97" t="s">
        <v>115</v>
      </c>
      <c r="B10" s="107">
        <v>3.0895241E7</v>
      </c>
      <c r="C10" s="67" t="s">
        <v>282</v>
      </c>
      <c r="D10" s="108">
        <v>38317.0</v>
      </c>
      <c r="E10" s="67">
        <v>3.017387084E9</v>
      </c>
      <c r="F10" s="109" t="s">
        <v>283</v>
      </c>
      <c r="G10" s="67" t="s">
        <v>284</v>
      </c>
      <c r="H10" s="63">
        <f t="shared" si="1"/>
        <v>22</v>
      </c>
      <c r="I10" s="12" t="s">
        <v>67</v>
      </c>
      <c r="J10" s="7" t="s">
        <v>26</v>
      </c>
      <c r="K10" s="63" t="s">
        <v>89</v>
      </c>
      <c r="L10" s="7" t="s">
        <v>73</v>
      </c>
      <c r="M10" s="12" t="s">
        <v>61</v>
      </c>
      <c r="N10" s="12" t="s">
        <v>62</v>
      </c>
      <c r="O10" s="110">
        <v>45368.0</v>
      </c>
      <c r="P10" s="92">
        <f>O10+60</f>
        <v>45428</v>
      </c>
      <c r="Q10" s="13">
        <v>45381.0</v>
      </c>
      <c r="R10" s="14" t="s">
        <v>31</v>
      </c>
      <c r="S10" s="15">
        <v>1300000.0</v>
      </c>
      <c r="T10" s="15">
        <v>650000.0</v>
      </c>
      <c r="U10" s="14" t="s">
        <v>31</v>
      </c>
    </row>
    <row r="11" ht="15.75" hidden="1" customHeight="1">
      <c r="A11" s="36" t="s">
        <v>115</v>
      </c>
      <c r="B11" s="36">
        <v>2.9881726E7</v>
      </c>
      <c r="C11" s="42" t="s">
        <v>285</v>
      </c>
      <c r="D11" s="47">
        <v>37048.0</v>
      </c>
      <c r="E11" s="12">
        <v>3.022138269E9</v>
      </c>
      <c r="F11" s="93" t="s">
        <v>286</v>
      </c>
      <c r="G11" s="12" t="s">
        <v>287</v>
      </c>
      <c r="H11" s="7">
        <f t="shared" si="1"/>
        <v>25</v>
      </c>
      <c r="I11" s="12" t="s">
        <v>67</v>
      </c>
      <c r="J11" s="7" t="s">
        <v>26</v>
      </c>
      <c r="K11" s="7" t="s">
        <v>89</v>
      </c>
      <c r="L11" s="7" t="s">
        <v>48</v>
      </c>
      <c r="M11" s="12" t="s">
        <v>61</v>
      </c>
      <c r="N11" s="12" t="s">
        <v>62</v>
      </c>
      <c r="O11" s="91">
        <v>45102.0</v>
      </c>
      <c r="P11" s="92">
        <f>O11+90</f>
        <v>45192</v>
      </c>
      <c r="Q11" s="13">
        <v>45153.0</v>
      </c>
      <c r="R11" s="14" t="s">
        <v>31</v>
      </c>
      <c r="S11" s="15">
        <v>1160000.0</v>
      </c>
      <c r="T11" s="15">
        <v>580000.0</v>
      </c>
      <c r="U11" s="14" t="s">
        <v>31</v>
      </c>
    </row>
    <row r="12" ht="15.75" customHeight="1">
      <c r="A12" s="7" t="s">
        <v>21</v>
      </c>
      <c r="B12" s="96">
        <v>6571779.0</v>
      </c>
      <c r="C12" s="9" t="s">
        <v>70</v>
      </c>
      <c r="D12" s="17">
        <v>38225.0</v>
      </c>
      <c r="E12" s="111">
        <v>3.125617816E9</v>
      </c>
      <c r="F12" s="97" t="s">
        <v>288</v>
      </c>
      <c r="G12" s="111" t="s">
        <v>289</v>
      </c>
      <c r="H12" s="63">
        <f t="shared" si="1"/>
        <v>22</v>
      </c>
      <c r="I12" s="12" t="s">
        <v>67</v>
      </c>
      <c r="J12" s="7" t="s">
        <v>35</v>
      </c>
      <c r="K12" s="11" t="s">
        <v>36</v>
      </c>
      <c r="L12" s="11" t="s">
        <v>48</v>
      </c>
      <c r="M12" s="12" t="s">
        <v>61</v>
      </c>
      <c r="N12" s="12" t="s">
        <v>62</v>
      </c>
      <c r="O12" s="99">
        <v>45478.0</v>
      </c>
      <c r="P12" s="99">
        <f t="shared" ref="P12:P13" si="4">O12+60</f>
        <v>45538</v>
      </c>
      <c r="Q12" s="7"/>
      <c r="R12" s="12" t="s">
        <v>39</v>
      </c>
      <c r="S12" s="15" t="s">
        <v>63</v>
      </c>
      <c r="T12" s="15" t="s">
        <v>63</v>
      </c>
      <c r="U12" s="49" t="s">
        <v>290</v>
      </c>
    </row>
    <row r="13" ht="15.75" customHeight="1">
      <c r="A13" s="11" t="s">
        <v>50</v>
      </c>
      <c r="B13" s="96">
        <v>1.03431422E9</v>
      </c>
      <c r="C13" s="45" t="s">
        <v>74</v>
      </c>
      <c r="D13" s="46">
        <v>35027.0</v>
      </c>
      <c r="E13" s="97">
        <v>3.208321778E9</v>
      </c>
      <c r="F13" s="97" t="s">
        <v>291</v>
      </c>
      <c r="G13" s="97" t="s">
        <v>292</v>
      </c>
      <c r="H13" s="63">
        <f t="shared" si="1"/>
        <v>31</v>
      </c>
      <c r="I13" s="12" t="s">
        <v>25</v>
      </c>
      <c r="J13" s="7" t="s">
        <v>26</v>
      </c>
      <c r="K13" s="7" t="s">
        <v>89</v>
      </c>
      <c r="L13" s="7" t="s">
        <v>48</v>
      </c>
      <c r="M13" s="12" t="s">
        <v>61</v>
      </c>
      <c r="N13" s="12" t="s">
        <v>62</v>
      </c>
      <c r="O13" s="112">
        <v>45834.0</v>
      </c>
      <c r="P13" s="99">
        <f t="shared" si="4"/>
        <v>45894</v>
      </c>
      <c r="Q13" s="7"/>
      <c r="R13" s="12" t="s">
        <v>39</v>
      </c>
      <c r="S13" s="15" t="s">
        <v>63</v>
      </c>
      <c r="T13" s="15" t="s">
        <v>63</v>
      </c>
      <c r="U13" s="49" t="s">
        <v>293</v>
      </c>
    </row>
    <row r="14" ht="15.75" hidden="1" customHeight="1">
      <c r="A14" s="12" t="s">
        <v>50</v>
      </c>
      <c r="B14" s="36">
        <v>1.000335633E9</v>
      </c>
      <c r="C14" s="42" t="s">
        <v>294</v>
      </c>
      <c r="D14" s="47">
        <v>37790.0</v>
      </c>
      <c r="E14" s="12">
        <v>3.134325661E9</v>
      </c>
      <c r="F14" s="36" t="s">
        <v>295</v>
      </c>
      <c r="G14" s="12" t="s">
        <v>296</v>
      </c>
      <c r="H14" s="7">
        <f t="shared" si="1"/>
        <v>23</v>
      </c>
      <c r="I14" s="12" t="s">
        <v>25</v>
      </c>
      <c r="J14" s="7" t="s">
        <v>26</v>
      </c>
      <c r="K14" s="7" t="s">
        <v>89</v>
      </c>
      <c r="L14" s="7" t="s">
        <v>28</v>
      </c>
      <c r="M14" s="12" t="s">
        <v>61</v>
      </c>
      <c r="N14" s="12" t="s">
        <v>62</v>
      </c>
      <c r="O14" s="91">
        <v>45110.0</v>
      </c>
      <c r="P14" s="92">
        <f t="shared" ref="P14:P15" si="5">O14+90</f>
        <v>45200</v>
      </c>
      <c r="Q14" s="13">
        <v>45190.0</v>
      </c>
      <c r="R14" s="14" t="s">
        <v>31</v>
      </c>
      <c r="S14" s="15">
        <v>1160000.0</v>
      </c>
      <c r="T14" s="15">
        <v>580000.0</v>
      </c>
      <c r="U14" s="14" t="s">
        <v>31</v>
      </c>
    </row>
    <row r="15" ht="15.75" hidden="1" customHeight="1">
      <c r="A15" s="113" t="s">
        <v>115</v>
      </c>
      <c r="B15" s="113">
        <v>3.1141234E7</v>
      </c>
      <c r="C15" s="75" t="s">
        <v>297</v>
      </c>
      <c r="D15" s="114">
        <v>38147.0</v>
      </c>
      <c r="E15" s="75">
        <v>3.004653837E9</v>
      </c>
      <c r="F15" s="113" t="s">
        <v>298</v>
      </c>
      <c r="G15" s="75" t="s">
        <v>299</v>
      </c>
      <c r="H15" s="73">
        <f t="shared" si="1"/>
        <v>22</v>
      </c>
      <c r="I15" s="12" t="s">
        <v>67</v>
      </c>
      <c r="J15" s="7" t="s">
        <v>26</v>
      </c>
      <c r="K15" s="7" t="s">
        <v>89</v>
      </c>
      <c r="L15" s="7" t="s">
        <v>28</v>
      </c>
      <c r="M15" s="12" t="s">
        <v>61</v>
      </c>
      <c r="N15" s="12" t="s">
        <v>62</v>
      </c>
      <c r="O15" s="115">
        <v>45093.0</v>
      </c>
      <c r="P15" s="92">
        <f t="shared" si="5"/>
        <v>45183</v>
      </c>
      <c r="Q15" s="13">
        <v>45443.0</v>
      </c>
      <c r="R15" s="14" t="s">
        <v>31</v>
      </c>
      <c r="S15" s="15">
        <v>1300000.0</v>
      </c>
      <c r="T15" s="54">
        <v>650000.0</v>
      </c>
      <c r="U15" s="14" t="s">
        <v>31</v>
      </c>
    </row>
    <row r="16" ht="15.75" customHeight="1">
      <c r="A16" s="11" t="s">
        <v>267</v>
      </c>
      <c r="B16" s="96">
        <v>2.6149376E7</v>
      </c>
      <c r="C16" s="25" t="s">
        <v>300</v>
      </c>
      <c r="D16" s="116">
        <v>35682.0</v>
      </c>
      <c r="E16" s="52">
        <v>3.158976702E9</v>
      </c>
      <c r="F16" s="117" t="s">
        <v>301</v>
      </c>
      <c r="G16" s="52" t="s">
        <v>302</v>
      </c>
      <c r="H16" s="7">
        <f t="shared" si="1"/>
        <v>29</v>
      </c>
      <c r="I16" s="12" t="s">
        <v>25</v>
      </c>
      <c r="J16" s="7" t="s">
        <v>26</v>
      </c>
      <c r="K16" s="7" t="s">
        <v>89</v>
      </c>
      <c r="L16" s="7" t="s">
        <v>48</v>
      </c>
      <c r="M16" s="12" t="s">
        <v>61</v>
      </c>
      <c r="N16" s="12" t="s">
        <v>62</v>
      </c>
      <c r="O16" s="112">
        <v>45003.0</v>
      </c>
      <c r="P16" s="17">
        <f>O16+60</f>
        <v>45063</v>
      </c>
      <c r="Q16" s="7"/>
      <c r="R16" s="12" t="s">
        <v>39</v>
      </c>
      <c r="S16" s="15" t="s">
        <v>63</v>
      </c>
      <c r="T16" s="15" t="s">
        <v>63</v>
      </c>
      <c r="U16" s="49" t="s">
        <v>229</v>
      </c>
    </row>
    <row r="17" ht="15.75" hidden="1" customHeight="1">
      <c r="A17" s="12" t="s">
        <v>21</v>
      </c>
      <c r="B17" s="118">
        <v>6105687.0</v>
      </c>
      <c r="C17" s="12" t="s">
        <v>303</v>
      </c>
      <c r="D17" s="119">
        <v>30860.0</v>
      </c>
      <c r="E17" s="12">
        <v>3.058384228E9</v>
      </c>
      <c r="F17" s="36" t="s">
        <v>304</v>
      </c>
      <c r="G17" s="12" t="s">
        <v>305</v>
      </c>
      <c r="H17" s="7">
        <f t="shared" si="1"/>
        <v>42</v>
      </c>
      <c r="I17" s="12" t="s">
        <v>67</v>
      </c>
      <c r="J17" s="7" t="s">
        <v>26</v>
      </c>
      <c r="K17" s="7" t="s">
        <v>89</v>
      </c>
      <c r="L17" s="7" t="s">
        <v>73</v>
      </c>
      <c r="M17" s="12" t="s">
        <v>61</v>
      </c>
      <c r="N17" s="12" t="s">
        <v>62</v>
      </c>
      <c r="O17" s="91">
        <v>45243.0</v>
      </c>
      <c r="P17" s="92">
        <f t="shared" ref="P17:P21" si="6">O17+90</f>
        <v>45333</v>
      </c>
      <c r="Q17" s="13">
        <v>45343.0</v>
      </c>
      <c r="R17" s="14" t="s">
        <v>31</v>
      </c>
      <c r="S17" s="15">
        <v>1300000.0</v>
      </c>
      <c r="T17" s="15">
        <v>650000.0</v>
      </c>
      <c r="U17" s="14" t="s">
        <v>31</v>
      </c>
    </row>
    <row r="18" ht="15.75" hidden="1" customHeight="1">
      <c r="A18" s="25" t="s">
        <v>50</v>
      </c>
      <c r="B18" s="120">
        <v>1.011201381E9</v>
      </c>
      <c r="C18" s="25" t="s">
        <v>306</v>
      </c>
      <c r="D18" s="119">
        <v>38573.0</v>
      </c>
      <c r="E18" s="25">
        <v>3.196122253E9</v>
      </c>
      <c r="F18" s="121" t="s">
        <v>307</v>
      </c>
      <c r="G18" s="25" t="s">
        <v>308</v>
      </c>
      <c r="H18" s="7">
        <f t="shared" si="1"/>
        <v>21</v>
      </c>
      <c r="I18" s="12" t="s">
        <v>25</v>
      </c>
      <c r="J18" s="7" t="s">
        <v>26</v>
      </c>
      <c r="K18" s="7" t="s">
        <v>89</v>
      </c>
      <c r="L18" s="7" t="s">
        <v>73</v>
      </c>
      <c r="M18" s="12" t="s">
        <v>61</v>
      </c>
      <c r="N18" s="12" t="s">
        <v>62</v>
      </c>
      <c r="O18" s="91">
        <v>45238.0</v>
      </c>
      <c r="P18" s="92">
        <f t="shared" si="6"/>
        <v>45328</v>
      </c>
      <c r="Q18" s="13">
        <v>45300.0</v>
      </c>
      <c r="R18" s="14" t="s">
        <v>31</v>
      </c>
      <c r="S18" s="15">
        <v>1160000.0</v>
      </c>
      <c r="T18" s="15">
        <v>580000.0</v>
      </c>
      <c r="U18" s="14" t="s">
        <v>31</v>
      </c>
    </row>
    <row r="19" ht="15.75" hidden="1" customHeight="1">
      <c r="A19" s="12" t="s">
        <v>21</v>
      </c>
      <c r="B19" s="118">
        <v>6025428.0</v>
      </c>
      <c r="C19" s="12" t="s">
        <v>309</v>
      </c>
      <c r="D19" s="47">
        <v>34760.0</v>
      </c>
      <c r="E19" s="12">
        <v>3.022623004E9</v>
      </c>
      <c r="F19" s="12" t="s">
        <v>310</v>
      </c>
      <c r="G19" s="12" t="s">
        <v>311</v>
      </c>
      <c r="H19" s="95">
        <f t="shared" si="1"/>
        <v>31</v>
      </c>
      <c r="I19" s="12" t="s">
        <v>25</v>
      </c>
      <c r="J19" s="7" t="s">
        <v>26</v>
      </c>
      <c r="K19" s="7" t="s">
        <v>89</v>
      </c>
      <c r="L19" s="7" t="s">
        <v>73</v>
      </c>
      <c r="M19" s="12" t="s">
        <v>61</v>
      </c>
      <c r="N19" s="12" t="s">
        <v>62</v>
      </c>
      <c r="O19" s="91">
        <v>45189.0</v>
      </c>
      <c r="P19" s="92">
        <f t="shared" si="6"/>
        <v>45279</v>
      </c>
      <c r="Q19" s="13">
        <v>45351.0</v>
      </c>
      <c r="R19" s="14" t="s">
        <v>31</v>
      </c>
      <c r="S19" s="15">
        <v>1300000.0</v>
      </c>
      <c r="T19" s="15">
        <v>650000.0</v>
      </c>
      <c r="U19" s="14" t="s">
        <v>31</v>
      </c>
    </row>
    <row r="20" ht="15.75" hidden="1" customHeight="1">
      <c r="A20" s="12" t="s">
        <v>50</v>
      </c>
      <c r="B20" s="96">
        <v>1.063161919E9</v>
      </c>
      <c r="C20" s="25" t="s">
        <v>312</v>
      </c>
      <c r="D20" s="122">
        <v>36426.0</v>
      </c>
      <c r="E20" s="25">
        <v>3.229420546E9</v>
      </c>
      <c r="F20" s="117" t="s">
        <v>313</v>
      </c>
      <c r="G20" s="52" t="s">
        <v>314</v>
      </c>
      <c r="H20" s="7">
        <f t="shared" si="1"/>
        <v>27</v>
      </c>
      <c r="I20" s="12" t="s">
        <v>25</v>
      </c>
      <c r="J20" s="7" t="s">
        <v>26</v>
      </c>
      <c r="K20" s="7" t="s">
        <v>89</v>
      </c>
      <c r="L20" s="7" t="s">
        <v>28</v>
      </c>
      <c r="M20" s="12" t="s">
        <v>61</v>
      </c>
      <c r="N20" s="12" t="s">
        <v>62</v>
      </c>
      <c r="O20" s="123">
        <v>45003.0</v>
      </c>
      <c r="P20" s="92">
        <f t="shared" si="6"/>
        <v>45093</v>
      </c>
      <c r="Q20" s="33">
        <v>45391.0</v>
      </c>
      <c r="R20" s="14" t="s">
        <v>31</v>
      </c>
      <c r="S20" s="15" t="s">
        <v>63</v>
      </c>
      <c r="T20" s="15" t="s">
        <v>315</v>
      </c>
      <c r="U20" s="14" t="s">
        <v>31</v>
      </c>
    </row>
    <row r="21" ht="15.75" hidden="1" customHeight="1">
      <c r="A21" s="36" t="s">
        <v>115</v>
      </c>
      <c r="B21" s="118">
        <v>3.1443441E7</v>
      </c>
      <c r="C21" s="42" t="s">
        <v>316</v>
      </c>
      <c r="D21" s="47">
        <v>38364.0</v>
      </c>
      <c r="E21" s="12">
        <v>3.118223642E9</v>
      </c>
      <c r="F21" s="36" t="s">
        <v>317</v>
      </c>
      <c r="G21" s="12" t="s">
        <v>318</v>
      </c>
      <c r="H21" s="7">
        <f t="shared" si="1"/>
        <v>21</v>
      </c>
      <c r="I21" s="12" t="s">
        <v>25</v>
      </c>
      <c r="J21" s="7" t="s">
        <v>26</v>
      </c>
      <c r="K21" s="7" t="s">
        <v>89</v>
      </c>
      <c r="L21" s="7" t="s">
        <v>48</v>
      </c>
      <c r="M21" s="12" t="s">
        <v>61</v>
      </c>
      <c r="N21" s="12" t="s">
        <v>62</v>
      </c>
      <c r="O21" s="91">
        <v>45206.0</v>
      </c>
      <c r="P21" s="92">
        <f t="shared" si="6"/>
        <v>45296</v>
      </c>
      <c r="Q21" s="13">
        <v>45351.0</v>
      </c>
      <c r="R21" s="14" t="s">
        <v>31</v>
      </c>
      <c r="S21" s="15">
        <v>1300000.0</v>
      </c>
      <c r="T21" s="15">
        <v>650000.0</v>
      </c>
      <c r="U21" s="14" t="s">
        <v>31</v>
      </c>
    </row>
    <row r="22" ht="15.75" hidden="1" customHeight="1">
      <c r="A22" s="36" t="s">
        <v>115</v>
      </c>
      <c r="B22" s="118">
        <v>3.1443441E7</v>
      </c>
      <c r="C22" s="42" t="s">
        <v>316</v>
      </c>
      <c r="D22" s="47">
        <v>38364.0</v>
      </c>
      <c r="E22" s="12">
        <v>3.118223642E9</v>
      </c>
      <c r="F22" s="36" t="s">
        <v>317</v>
      </c>
      <c r="G22" s="12" t="s">
        <v>318</v>
      </c>
      <c r="H22" s="7">
        <f t="shared" si="1"/>
        <v>21</v>
      </c>
      <c r="I22" s="12" t="s">
        <v>25</v>
      </c>
      <c r="J22" s="7" t="s">
        <v>26</v>
      </c>
      <c r="K22" s="7" t="s">
        <v>89</v>
      </c>
      <c r="L22" s="7" t="s">
        <v>48</v>
      </c>
      <c r="M22" s="12" t="s">
        <v>61</v>
      </c>
      <c r="N22" s="12" t="s">
        <v>62</v>
      </c>
      <c r="O22" s="91">
        <v>45367.0</v>
      </c>
      <c r="P22" s="92">
        <f>O22+60</f>
        <v>45427</v>
      </c>
      <c r="Q22" s="13">
        <v>45454.0</v>
      </c>
      <c r="R22" s="14" t="s">
        <v>31</v>
      </c>
      <c r="S22" s="15">
        <v>1300000.0</v>
      </c>
      <c r="T22" s="15">
        <v>650000.0</v>
      </c>
      <c r="U22" s="14" t="s">
        <v>31</v>
      </c>
    </row>
    <row r="23" ht="15.75" hidden="1" customHeight="1">
      <c r="A23" s="124" t="s">
        <v>115</v>
      </c>
      <c r="B23" s="125">
        <v>2.9769728E7</v>
      </c>
      <c r="C23" s="126" t="s">
        <v>319</v>
      </c>
      <c r="D23" s="47">
        <v>37483.0</v>
      </c>
      <c r="E23" s="127">
        <v>3.225689939E9</v>
      </c>
      <c r="F23" s="128" t="s">
        <v>320</v>
      </c>
      <c r="G23" s="127" t="s">
        <v>321</v>
      </c>
      <c r="H23" s="7">
        <f t="shared" si="1"/>
        <v>24</v>
      </c>
      <c r="I23" s="12" t="s">
        <v>67</v>
      </c>
      <c r="J23" s="7" t="s">
        <v>26</v>
      </c>
      <c r="K23" s="7" t="s">
        <v>89</v>
      </c>
      <c r="L23" s="7" t="s">
        <v>48</v>
      </c>
      <c r="M23" s="12" t="s">
        <v>61</v>
      </c>
      <c r="N23" s="12" t="s">
        <v>62</v>
      </c>
      <c r="O23" s="91">
        <v>44985.0</v>
      </c>
      <c r="P23" s="92">
        <f>O23+90</f>
        <v>45075</v>
      </c>
      <c r="Q23" s="13">
        <v>45159.0</v>
      </c>
      <c r="R23" s="14" t="s">
        <v>31</v>
      </c>
      <c r="S23" s="15" t="s">
        <v>63</v>
      </c>
      <c r="T23" s="15" t="s">
        <v>315</v>
      </c>
      <c r="U23" s="14" t="s">
        <v>31</v>
      </c>
    </row>
    <row r="24" ht="15.75" customHeight="1">
      <c r="A24" s="42" t="s">
        <v>50</v>
      </c>
      <c r="B24" s="118">
        <v>1.012391355E9</v>
      </c>
      <c r="C24" s="42" t="s">
        <v>322</v>
      </c>
      <c r="D24" s="37">
        <v>33766.0</v>
      </c>
      <c r="E24" s="12">
        <v>3.167928985E9</v>
      </c>
      <c r="F24" s="36" t="s">
        <v>323</v>
      </c>
      <c r="G24" s="12" t="s">
        <v>324</v>
      </c>
      <c r="H24" s="7">
        <f t="shared" si="1"/>
        <v>34</v>
      </c>
      <c r="I24" s="12" t="s">
        <v>25</v>
      </c>
      <c r="J24" s="7" t="s">
        <v>35</v>
      </c>
      <c r="K24" s="11" t="s">
        <v>36</v>
      </c>
      <c r="L24" s="7" t="s">
        <v>28</v>
      </c>
      <c r="M24" s="12" t="s">
        <v>61</v>
      </c>
      <c r="N24" s="12" t="s">
        <v>62</v>
      </c>
      <c r="O24" s="37">
        <v>45010.0</v>
      </c>
      <c r="P24" s="17">
        <f>O24+60</f>
        <v>45070</v>
      </c>
      <c r="Q24" s="13"/>
      <c r="R24" s="12" t="s">
        <v>39</v>
      </c>
      <c r="S24" s="15" t="s">
        <v>63</v>
      </c>
      <c r="T24" s="15" t="s">
        <v>63</v>
      </c>
      <c r="U24" s="49" t="s">
        <v>325</v>
      </c>
    </row>
    <row r="25" ht="15.75" hidden="1" customHeight="1">
      <c r="A25" s="11" t="s">
        <v>115</v>
      </c>
      <c r="B25" s="8">
        <v>3.1414361E7</v>
      </c>
      <c r="C25" s="7" t="s">
        <v>326</v>
      </c>
      <c r="D25" s="21">
        <v>38661.0</v>
      </c>
      <c r="E25" s="7">
        <v>3.214963307E9</v>
      </c>
      <c r="F25" s="11" t="s">
        <v>327</v>
      </c>
      <c r="G25" s="7" t="s">
        <v>321</v>
      </c>
      <c r="H25" s="7">
        <f t="shared" si="1"/>
        <v>21</v>
      </c>
      <c r="I25" s="12" t="s">
        <v>25</v>
      </c>
      <c r="J25" s="7" t="s">
        <v>26</v>
      </c>
      <c r="K25" s="7" t="s">
        <v>89</v>
      </c>
      <c r="L25" s="7" t="s">
        <v>28</v>
      </c>
      <c r="M25" s="12" t="s">
        <v>61</v>
      </c>
      <c r="N25" s="12" t="s">
        <v>62</v>
      </c>
      <c r="O25" s="10">
        <v>44917.0</v>
      </c>
      <c r="P25" s="92">
        <f t="shared" ref="P25:P26" si="7">O25+90</f>
        <v>45007</v>
      </c>
      <c r="Q25" s="13">
        <v>45008.0</v>
      </c>
      <c r="R25" s="14" t="s">
        <v>31</v>
      </c>
      <c r="S25" s="15" t="s">
        <v>63</v>
      </c>
      <c r="T25" s="15" t="s">
        <v>315</v>
      </c>
      <c r="U25" s="14" t="s">
        <v>31</v>
      </c>
    </row>
    <row r="26" ht="15.75" hidden="1" customHeight="1">
      <c r="A26" s="12" t="s">
        <v>50</v>
      </c>
      <c r="B26" s="118">
        <v>1.031808622E9</v>
      </c>
      <c r="C26" s="12" t="s">
        <v>328</v>
      </c>
      <c r="D26" s="47">
        <v>39026.0</v>
      </c>
      <c r="E26" s="12">
        <v>3.228268404E9</v>
      </c>
      <c r="F26" s="36" t="s">
        <v>329</v>
      </c>
      <c r="G26" s="12" t="s">
        <v>330</v>
      </c>
      <c r="H26" s="7">
        <f t="shared" si="1"/>
        <v>20</v>
      </c>
      <c r="I26" s="12" t="s">
        <v>25</v>
      </c>
      <c r="J26" s="7" t="s">
        <v>26</v>
      </c>
      <c r="K26" s="7" t="s">
        <v>89</v>
      </c>
      <c r="L26" s="7" t="s">
        <v>28</v>
      </c>
      <c r="M26" s="12" t="s">
        <v>61</v>
      </c>
      <c r="N26" s="12" t="s">
        <v>62</v>
      </c>
      <c r="O26" s="91">
        <v>45226.0</v>
      </c>
      <c r="P26" s="92">
        <f t="shared" si="7"/>
        <v>45316</v>
      </c>
      <c r="Q26" s="13">
        <v>45268.0</v>
      </c>
      <c r="R26" s="14" t="s">
        <v>31</v>
      </c>
      <c r="S26" s="15">
        <v>1160000.0</v>
      </c>
      <c r="T26" s="15">
        <v>580000.0</v>
      </c>
      <c r="U26" s="14" t="s">
        <v>31</v>
      </c>
    </row>
    <row r="27" ht="15.75" hidden="1" customHeight="1">
      <c r="A27" s="12" t="s">
        <v>50</v>
      </c>
      <c r="B27" s="118">
        <v>1.031808622E9</v>
      </c>
      <c r="C27" s="12" t="s">
        <v>328</v>
      </c>
      <c r="D27" s="47">
        <v>39026.0</v>
      </c>
      <c r="E27" s="12">
        <v>3.228268404E9</v>
      </c>
      <c r="F27" s="36" t="s">
        <v>329</v>
      </c>
      <c r="G27" s="12" t="s">
        <v>330</v>
      </c>
      <c r="H27" s="7">
        <f t="shared" si="1"/>
        <v>20</v>
      </c>
      <c r="I27" s="12" t="s">
        <v>25</v>
      </c>
      <c r="J27" s="7" t="s">
        <v>26</v>
      </c>
      <c r="K27" s="7" t="s">
        <v>89</v>
      </c>
      <c r="L27" s="7" t="s">
        <v>28</v>
      </c>
      <c r="M27" s="12" t="s">
        <v>61</v>
      </c>
      <c r="N27" s="12" t="s">
        <v>62</v>
      </c>
      <c r="O27" s="91">
        <v>45320.0</v>
      </c>
      <c r="P27" s="92">
        <f>O27+60</f>
        <v>45380</v>
      </c>
      <c r="Q27" s="13">
        <v>45351.0</v>
      </c>
      <c r="R27" s="14" t="s">
        <v>31</v>
      </c>
      <c r="S27" s="15">
        <v>1300000.0</v>
      </c>
      <c r="T27" s="15">
        <v>650000.0</v>
      </c>
      <c r="U27" s="14" t="s">
        <v>31</v>
      </c>
    </row>
    <row r="28" ht="15.75" hidden="1" customHeight="1">
      <c r="A28" s="49" t="s">
        <v>21</v>
      </c>
      <c r="B28" s="129">
        <v>6013472.0</v>
      </c>
      <c r="C28" s="49" t="s">
        <v>331</v>
      </c>
      <c r="D28" s="130">
        <v>34354.0</v>
      </c>
      <c r="E28" s="49">
        <v>3.042679811E9</v>
      </c>
      <c r="F28" s="49" t="s">
        <v>332</v>
      </c>
      <c r="G28" s="49" t="s">
        <v>333</v>
      </c>
      <c r="H28" s="7">
        <f t="shared" si="1"/>
        <v>32</v>
      </c>
      <c r="I28" s="12" t="s">
        <v>67</v>
      </c>
      <c r="J28" s="7" t="s">
        <v>26</v>
      </c>
      <c r="K28" s="7" t="s">
        <v>89</v>
      </c>
      <c r="L28" s="7" t="s">
        <v>73</v>
      </c>
      <c r="M28" s="12" t="s">
        <v>61</v>
      </c>
      <c r="N28" s="12" t="s">
        <v>62</v>
      </c>
      <c r="O28" s="131">
        <v>45566.0</v>
      </c>
      <c r="P28" s="21">
        <f>O28+60</f>
        <v>45626</v>
      </c>
      <c r="Q28" s="22">
        <v>45964.0</v>
      </c>
      <c r="R28" s="14" t="s">
        <v>31</v>
      </c>
      <c r="S28" s="18" t="s">
        <v>63</v>
      </c>
      <c r="T28" s="18" t="s">
        <v>63</v>
      </c>
      <c r="U28" s="14" t="s">
        <v>31</v>
      </c>
    </row>
    <row r="29" ht="15.75" hidden="1" customHeight="1">
      <c r="A29" s="36" t="s">
        <v>115</v>
      </c>
      <c r="B29" s="118">
        <v>2.3430563E7</v>
      </c>
      <c r="C29" s="12" t="s">
        <v>334</v>
      </c>
      <c r="D29" s="47">
        <v>35048.0</v>
      </c>
      <c r="E29" s="42">
        <v>3.133435169E9</v>
      </c>
      <c r="F29" s="36" t="s">
        <v>335</v>
      </c>
      <c r="G29" s="12" t="s">
        <v>336</v>
      </c>
      <c r="H29" s="7">
        <f t="shared" si="1"/>
        <v>31</v>
      </c>
      <c r="I29" s="12" t="s">
        <v>25</v>
      </c>
      <c r="J29" s="7" t="s">
        <v>26</v>
      </c>
      <c r="K29" s="7" t="s">
        <v>89</v>
      </c>
      <c r="L29" s="7" t="s">
        <v>73</v>
      </c>
      <c r="M29" s="12" t="s">
        <v>61</v>
      </c>
      <c r="N29" s="12" t="s">
        <v>62</v>
      </c>
      <c r="O29" s="91">
        <v>45201.0</v>
      </c>
      <c r="P29" s="92">
        <f t="shared" ref="P29:P31" si="8">O29+90</f>
        <v>45291</v>
      </c>
      <c r="Q29" s="13">
        <v>45351.0</v>
      </c>
      <c r="R29" s="14" t="s">
        <v>31</v>
      </c>
      <c r="S29" s="15">
        <v>1300000.0</v>
      </c>
      <c r="T29" s="15">
        <v>650000.0</v>
      </c>
      <c r="U29" s="14" t="s">
        <v>31</v>
      </c>
    </row>
    <row r="30" ht="15.75" hidden="1" customHeight="1">
      <c r="A30" s="7" t="s">
        <v>50</v>
      </c>
      <c r="B30" s="70">
        <v>1.012380094E9</v>
      </c>
      <c r="C30" s="73" t="s">
        <v>337</v>
      </c>
      <c r="D30" s="132">
        <v>33440.0</v>
      </c>
      <c r="E30" s="73">
        <v>3.1230039E9</v>
      </c>
      <c r="F30" s="74" t="s">
        <v>338</v>
      </c>
      <c r="G30" s="73" t="s">
        <v>339</v>
      </c>
      <c r="H30" s="7">
        <f t="shared" si="1"/>
        <v>35</v>
      </c>
      <c r="I30" s="12" t="s">
        <v>67</v>
      </c>
      <c r="J30" s="7" t="s">
        <v>26</v>
      </c>
      <c r="K30" s="7" t="s">
        <v>89</v>
      </c>
      <c r="L30" s="7" t="s">
        <v>28</v>
      </c>
      <c r="M30" s="12" t="s">
        <v>61</v>
      </c>
      <c r="N30" s="12" t="s">
        <v>62</v>
      </c>
      <c r="O30" s="10">
        <v>44876.0</v>
      </c>
      <c r="P30" s="92">
        <f t="shared" si="8"/>
        <v>44966</v>
      </c>
      <c r="Q30" s="13">
        <v>45092.0</v>
      </c>
      <c r="R30" s="14" t="s">
        <v>31</v>
      </c>
      <c r="S30" s="15">
        <v>1160000.0</v>
      </c>
      <c r="T30" s="15">
        <v>580000.0</v>
      </c>
      <c r="U30" s="14" t="s">
        <v>31</v>
      </c>
    </row>
    <row r="31" ht="15.75" hidden="1" customHeight="1">
      <c r="A31" s="49" t="s">
        <v>115</v>
      </c>
      <c r="B31" s="129">
        <v>2.7851081E7</v>
      </c>
      <c r="C31" s="55" t="s">
        <v>340</v>
      </c>
      <c r="D31" s="133">
        <v>36199.0</v>
      </c>
      <c r="E31" s="49">
        <v>3.022790541E9</v>
      </c>
      <c r="F31" s="49" t="s">
        <v>341</v>
      </c>
      <c r="G31" s="49" t="s">
        <v>342</v>
      </c>
      <c r="H31" s="7">
        <f t="shared" si="1"/>
        <v>27</v>
      </c>
      <c r="I31" s="12" t="s">
        <v>25</v>
      </c>
      <c r="J31" s="7" t="s">
        <v>26</v>
      </c>
      <c r="K31" s="7" t="s">
        <v>89</v>
      </c>
      <c r="L31" s="7" t="s">
        <v>48</v>
      </c>
      <c r="M31" s="12" t="s">
        <v>61</v>
      </c>
      <c r="N31" s="12" t="s">
        <v>62</v>
      </c>
      <c r="O31" s="134">
        <v>45013.0</v>
      </c>
      <c r="P31" s="17">
        <f t="shared" si="8"/>
        <v>45103</v>
      </c>
      <c r="Q31" s="11" t="s">
        <v>343</v>
      </c>
      <c r="R31" s="24" t="s">
        <v>31</v>
      </c>
      <c r="S31" s="100">
        <v>1423500.0</v>
      </c>
      <c r="T31" s="100">
        <v>711750.0</v>
      </c>
      <c r="U31" s="24" t="s">
        <v>31</v>
      </c>
    </row>
    <row r="32" ht="15.75" hidden="1" customHeight="1">
      <c r="A32" s="36" t="s">
        <v>50</v>
      </c>
      <c r="B32" s="118">
        <v>1.0325097E9</v>
      </c>
      <c r="C32" s="36" t="s">
        <v>344</v>
      </c>
      <c r="D32" s="135">
        <v>36009.0</v>
      </c>
      <c r="E32" s="36">
        <v>3.219707394E9</v>
      </c>
      <c r="F32" s="36" t="s">
        <v>345</v>
      </c>
      <c r="G32" s="36" t="s">
        <v>346</v>
      </c>
      <c r="H32" s="7">
        <f t="shared" si="1"/>
        <v>28</v>
      </c>
      <c r="I32" s="12" t="s">
        <v>25</v>
      </c>
      <c r="J32" s="7" t="s">
        <v>26</v>
      </c>
      <c r="K32" s="7" t="s">
        <v>89</v>
      </c>
      <c r="L32" s="7" t="s">
        <v>28</v>
      </c>
      <c r="M32" s="12" t="s">
        <v>61</v>
      </c>
      <c r="N32" s="12" t="s">
        <v>62</v>
      </c>
      <c r="O32" s="136">
        <v>45570.0</v>
      </c>
      <c r="P32" s="92">
        <f>O32+60</f>
        <v>45630</v>
      </c>
      <c r="Q32" s="11" t="s">
        <v>347</v>
      </c>
      <c r="R32" s="14" t="s">
        <v>31</v>
      </c>
      <c r="S32" s="15">
        <v>1300000.0</v>
      </c>
      <c r="T32" s="15">
        <v>650000.0</v>
      </c>
      <c r="U32" s="14" t="s">
        <v>31</v>
      </c>
    </row>
    <row r="33" ht="15.75" hidden="1" customHeight="1">
      <c r="A33" s="67" t="s">
        <v>21</v>
      </c>
      <c r="B33" s="137">
        <v>5212719.0</v>
      </c>
      <c r="C33" s="138" t="s">
        <v>348</v>
      </c>
      <c r="D33" s="139">
        <v>36829.0</v>
      </c>
      <c r="E33" s="138">
        <v>3.187432105E9</v>
      </c>
      <c r="F33" s="140" t="s">
        <v>349</v>
      </c>
      <c r="G33" s="138" t="s">
        <v>350</v>
      </c>
      <c r="H33" s="63">
        <f t="shared" si="1"/>
        <v>26</v>
      </c>
      <c r="I33" s="12" t="s">
        <v>25</v>
      </c>
      <c r="J33" s="7" t="s">
        <v>351</v>
      </c>
      <c r="K33" s="63" t="s">
        <v>89</v>
      </c>
      <c r="L33" s="7" t="s">
        <v>28</v>
      </c>
      <c r="M33" s="12" t="s">
        <v>61</v>
      </c>
      <c r="N33" s="12" t="s">
        <v>62</v>
      </c>
      <c r="O33" s="110">
        <v>45305.0</v>
      </c>
      <c r="P33" s="141">
        <f t="shared" ref="P33:P34" si="9">O33+60</f>
        <v>45365</v>
      </c>
      <c r="Q33" s="22">
        <v>45574.0</v>
      </c>
      <c r="R33" s="14" t="s">
        <v>31</v>
      </c>
      <c r="S33" s="142" t="s">
        <v>63</v>
      </c>
      <c r="T33" s="142" t="s">
        <v>63</v>
      </c>
      <c r="U33" s="14" t="s">
        <v>31</v>
      </c>
    </row>
    <row r="34" ht="15.75" hidden="1" customHeight="1">
      <c r="A34" s="121" t="s">
        <v>115</v>
      </c>
      <c r="B34" s="120">
        <v>3.0147014E7</v>
      </c>
      <c r="C34" s="121" t="s">
        <v>352</v>
      </c>
      <c r="D34" s="143">
        <v>37534.0</v>
      </c>
      <c r="E34" s="121">
        <v>3.107887633E9</v>
      </c>
      <c r="F34" s="121" t="s">
        <v>353</v>
      </c>
      <c r="G34" s="121" t="s">
        <v>354</v>
      </c>
      <c r="H34" s="144">
        <f t="shared" si="1"/>
        <v>24</v>
      </c>
      <c r="I34" s="12" t="s">
        <v>25</v>
      </c>
      <c r="J34" s="7" t="s">
        <v>26</v>
      </c>
      <c r="K34" s="7" t="s">
        <v>89</v>
      </c>
      <c r="L34" s="11" t="s">
        <v>73</v>
      </c>
      <c r="M34" s="12" t="s">
        <v>61</v>
      </c>
      <c r="N34" s="12" t="s">
        <v>62</v>
      </c>
      <c r="O34" s="131">
        <v>45671.0</v>
      </c>
      <c r="P34" s="21">
        <f t="shared" si="9"/>
        <v>45731</v>
      </c>
      <c r="Q34" s="11" t="s">
        <v>355</v>
      </c>
      <c r="R34" s="14" t="s">
        <v>31</v>
      </c>
      <c r="S34" s="145">
        <v>1423500.0</v>
      </c>
      <c r="T34" s="145">
        <v>711750.0</v>
      </c>
      <c r="U34" s="14" t="s">
        <v>31</v>
      </c>
    </row>
    <row r="35" ht="15.75" hidden="1" customHeight="1">
      <c r="A35" s="11" t="s">
        <v>115</v>
      </c>
      <c r="B35" s="8">
        <v>2.8335261E7</v>
      </c>
      <c r="C35" s="7" t="s">
        <v>356</v>
      </c>
      <c r="D35" s="21">
        <v>36491.0</v>
      </c>
      <c r="E35" s="63">
        <v>3.016653843E9</v>
      </c>
      <c r="F35" s="11" t="s">
        <v>357</v>
      </c>
      <c r="G35" s="7" t="s">
        <v>358</v>
      </c>
      <c r="H35" s="7">
        <f t="shared" si="1"/>
        <v>27</v>
      </c>
      <c r="I35" s="12" t="s">
        <v>67</v>
      </c>
      <c r="J35" s="7" t="s">
        <v>26</v>
      </c>
      <c r="K35" s="7" t="s">
        <v>89</v>
      </c>
      <c r="L35" s="7" t="s">
        <v>28</v>
      </c>
      <c r="M35" s="12" t="s">
        <v>61</v>
      </c>
      <c r="N35" s="12" t="s">
        <v>62</v>
      </c>
      <c r="O35" s="10">
        <v>44860.0</v>
      </c>
      <c r="P35" s="92">
        <f t="shared" ref="P35:P40" si="10">O35+90</f>
        <v>44950</v>
      </c>
      <c r="Q35" s="13">
        <v>45014.0</v>
      </c>
      <c r="R35" s="14" t="s">
        <v>31</v>
      </c>
      <c r="S35" s="15">
        <v>1160000.0</v>
      </c>
      <c r="T35" s="15">
        <v>580000.0</v>
      </c>
      <c r="U35" s="14" t="s">
        <v>31</v>
      </c>
    </row>
    <row r="36" ht="15.75" hidden="1" customHeight="1">
      <c r="A36" s="12" t="s">
        <v>21</v>
      </c>
      <c r="B36" s="118">
        <v>4971746.0</v>
      </c>
      <c r="C36" s="42" t="s">
        <v>359</v>
      </c>
      <c r="D36" s="47">
        <v>33236.0</v>
      </c>
      <c r="E36" s="12">
        <v>3.22333475E9</v>
      </c>
      <c r="F36" s="36" t="s">
        <v>360</v>
      </c>
      <c r="G36" s="12" t="s">
        <v>361</v>
      </c>
      <c r="H36" s="7">
        <f t="shared" si="1"/>
        <v>36</v>
      </c>
      <c r="I36" s="12" t="s">
        <v>67</v>
      </c>
      <c r="J36" s="7" t="s">
        <v>362</v>
      </c>
      <c r="K36" s="7" t="s">
        <v>27</v>
      </c>
      <c r="L36" s="7" t="s">
        <v>73</v>
      </c>
      <c r="M36" s="12" t="s">
        <v>61</v>
      </c>
      <c r="N36" s="12" t="s">
        <v>62</v>
      </c>
      <c r="O36" s="91">
        <v>45108.0</v>
      </c>
      <c r="P36" s="92">
        <f t="shared" si="10"/>
        <v>45198</v>
      </c>
      <c r="Q36" s="13">
        <v>45413.0</v>
      </c>
      <c r="R36" s="14" t="s">
        <v>31</v>
      </c>
      <c r="S36" s="15" t="s">
        <v>63</v>
      </c>
      <c r="T36" s="15" t="s">
        <v>63</v>
      </c>
      <c r="U36" s="14" t="s">
        <v>31</v>
      </c>
    </row>
    <row r="37" ht="15.75" hidden="1" customHeight="1">
      <c r="A37" s="12" t="s">
        <v>50</v>
      </c>
      <c r="B37" s="118">
        <v>1.116492484E9</v>
      </c>
      <c r="C37" s="12" t="s">
        <v>363</v>
      </c>
      <c r="D37" s="47">
        <v>36367.0</v>
      </c>
      <c r="E37" s="12">
        <v>3.133435169E9</v>
      </c>
      <c r="F37" s="36" t="s">
        <v>364</v>
      </c>
      <c r="G37" s="12" t="s">
        <v>365</v>
      </c>
      <c r="H37" s="95">
        <f t="shared" si="1"/>
        <v>27</v>
      </c>
      <c r="I37" s="12" t="s">
        <v>67</v>
      </c>
      <c r="J37" s="7" t="s">
        <v>26</v>
      </c>
      <c r="K37" s="7" t="s">
        <v>89</v>
      </c>
      <c r="L37" s="7" t="s">
        <v>48</v>
      </c>
      <c r="M37" s="12" t="s">
        <v>61</v>
      </c>
      <c r="N37" s="12" t="s">
        <v>62</v>
      </c>
      <c r="O37" s="91">
        <v>45201.0</v>
      </c>
      <c r="P37" s="92">
        <f t="shared" si="10"/>
        <v>45291</v>
      </c>
      <c r="Q37" s="13">
        <v>45328.0</v>
      </c>
      <c r="R37" s="14" t="s">
        <v>31</v>
      </c>
      <c r="S37" s="15">
        <v>1300000.0</v>
      </c>
      <c r="T37" s="15">
        <v>650000.0</v>
      </c>
      <c r="U37" s="14" t="s">
        <v>31</v>
      </c>
    </row>
    <row r="38" ht="15.75" hidden="1" customHeight="1">
      <c r="A38" s="121" t="s">
        <v>115</v>
      </c>
      <c r="B38" s="120">
        <v>1.9404355E7</v>
      </c>
      <c r="C38" s="25" t="s">
        <v>366</v>
      </c>
      <c r="D38" s="119">
        <v>32651.0</v>
      </c>
      <c r="E38" s="25">
        <v>5.84123536492E11</v>
      </c>
      <c r="F38" s="121" t="s">
        <v>367</v>
      </c>
      <c r="G38" s="25" t="s">
        <v>368</v>
      </c>
      <c r="H38" s="95">
        <f t="shared" si="1"/>
        <v>37</v>
      </c>
      <c r="I38" s="12" t="s">
        <v>25</v>
      </c>
      <c r="J38" s="7" t="s">
        <v>26</v>
      </c>
      <c r="K38" s="7" t="s">
        <v>89</v>
      </c>
      <c r="L38" s="7" t="s">
        <v>73</v>
      </c>
      <c r="M38" s="12" t="s">
        <v>61</v>
      </c>
      <c r="N38" s="12" t="s">
        <v>62</v>
      </c>
      <c r="O38" s="91">
        <v>45125.0</v>
      </c>
      <c r="P38" s="92">
        <f t="shared" si="10"/>
        <v>45215</v>
      </c>
      <c r="Q38" s="13">
        <v>45299.0</v>
      </c>
      <c r="R38" s="14" t="s">
        <v>31</v>
      </c>
      <c r="S38" s="15" t="s">
        <v>63</v>
      </c>
      <c r="T38" s="15" t="s">
        <v>63</v>
      </c>
      <c r="U38" s="14" t="s">
        <v>31</v>
      </c>
    </row>
    <row r="39" ht="15.75" hidden="1" customHeight="1">
      <c r="A39" s="146" t="s">
        <v>50</v>
      </c>
      <c r="B39" s="147">
        <v>1.023370662E9</v>
      </c>
      <c r="C39" s="146" t="s">
        <v>369</v>
      </c>
      <c r="D39" s="78">
        <v>38693.0</v>
      </c>
      <c r="E39" s="148">
        <v>3.008499344E9</v>
      </c>
      <c r="F39" s="49" t="s">
        <v>370</v>
      </c>
      <c r="G39" s="149" t="s">
        <v>371</v>
      </c>
      <c r="H39" s="150">
        <v>20.0</v>
      </c>
      <c r="I39" s="12" t="s">
        <v>25</v>
      </c>
      <c r="J39" s="7" t="s">
        <v>26</v>
      </c>
      <c r="K39" s="7" t="s">
        <v>89</v>
      </c>
      <c r="L39" s="7" t="s">
        <v>48</v>
      </c>
      <c r="M39" s="12" t="s">
        <v>61</v>
      </c>
      <c r="N39" s="12" t="s">
        <v>62</v>
      </c>
      <c r="O39" s="22">
        <v>45736.0</v>
      </c>
      <c r="P39" s="21">
        <f t="shared" si="10"/>
        <v>45826</v>
      </c>
      <c r="Q39" s="7"/>
      <c r="R39" s="24" t="s">
        <v>31</v>
      </c>
      <c r="S39" s="145">
        <v>1623500.0</v>
      </c>
      <c r="T39" s="145">
        <v>811750.0</v>
      </c>
      <c r="U39" s="24" t="s">
        <v>31</v>
      </c>
    </row>
    <row r="40" ht="15.75" hidden="1" customHeight="1">
      <c r="A40" s="36" t="s">
        <v>115</v>
      </c>
      <c r="B40" s="151">
        <v>3.2718234E7</v>
      </c>
      <c r="C40" s="152" t="s">
        <v>372</v>
      </c>
      <c r="D40" s="153">
        <v>38143.0</v>
      </c>
      <c r="E40" s="154">
        <v>3.203953555E9</v>
      </c>
      <c r="F40" s="155" t="s">
        <v>373</v>
      </c>
      <c r="G40" s="154" t="s">
        <v>374</v>
      </c>
      <c r="H40" s="7">
        <f t="shared" ref="H40:H128" si="11">(YEAR(NOW())-YEAR(D40))</f>
        <v>22</v>
      </c>
      <c r="I40" s="12" t="s">
        <v>67</v>
      </c>
      <c r="J40" s="7" t="s">
        <v>26</v>
      </c>
      <c r="K40" s="7" t="s">
        <v>89</v>
      </c>
      <c r="L40" s="7" t="s">
        <v>48</v>
      </c>
      <c r="M40" s="12" t="s">
        <v>61</v>
      </c>
      <c r="N40" s="12" t="s">
        <v>62</v>
      </c>
      <c r="O40" s="91">
        <v>44962.0</v>
      </c>
      <c r="P40" s="92">
        <f t="shared" si="10"/>
        <v>45052</v>
      </c>
      <c r="Q40" s="31">
        <v>45356.0</v>
      </c>
      <c r="R40" s="14" t="s">
        <v>31</v>
      </c>
      <c r="S40" s="15" t="s">
        <v>63</v>
      </c>
      <c r="T40" s="15" t="s">
        <v>63</v>
      </c>
      <c r="U40" s="14" t="s">
        <v>31</v>
      </c>
    </row>
    <row r="41" ht="15.75" hidden="1" customHeight="1">
      <c r="A41" s="12" t="s">
        <v>21</v>
      </c>
      <c r="B41" s="151">
        <v>7108408.0</v>
      </c>
      <c r="C41" s="154" t="s">
        <v>375</v>
      </c>
      <c r="D41" s="153">
        <v>38603.0</v>
      </c>
      <c r="E41" s="154">
        <v>3.223289638E9</v>
      </c>
      <c r="F41" s="155" t="s">
        <v>376</v>
      </c>
      <c r="G41" s="154" t="s">
        <v>377</v>
      </c>
      <c r="H41" s="73">
        <f t="shared" si="11"/>
        <v>21</v>
      </c>
      <c r="I41" s="12" t="s">
        <v>25</v>
      </c>
      <c r="J41" s="7" t="s">
        <v>26</v>
      </c>
      <c r="K41" s="7" t="s">
        <v>89</v>
      </c>
      <c r="L41" s="7" t="s">
        <v>28</v>
      </c>
      <c r="M41" s="12" t="s">
        <v>61</v>
      </c>
      <c r="N41" s="12" t="s">
        <v>62</v>
      </c>
      <c r="O41" s="91">
        <v>45296.0</v>
      </c>
      <c r="P41" s="92">
        <f t="shared" ref="P41:P42" si="12">O41+60</f>
        <v>45356</v>
      </c>
      <c r="Q41" s="13">
        <v>45351.0</v>
      </c>
      <c r="R41" s="14" t="s">
        <v>31</v>
      </c>
      <c r="S41" s="15">
        <v>1300000.0</v>
      </c>
      <c r="T41" s="15">
        <v>650000.0</v>
      </c>
      <c r="U41" s="14" t="s">
        <v>31</v>
      </c>
    </row>
    <row r="42" ht="15.75" hidden="1" customHeight="1">
      <c r="A42" s="12" t="s">
        <v>21</v>
      </c>
      <c r="B42" s="118">
        <v>7108408.0</v>
      </c>
      <c r="C42" s="12" t="s">
        <v>375</v>
      </c>
      <c r="D42" s="47">
        <v>38603.0</v>
      </c>
      <c r="E42" s="12">
        <v>3.223289638E9</v>
      </c>
      <c r="F42" s="36" t="s">
        <v>376</v>
      </c>
      <c r="G42" s="12" t="s">
        <v>377</v>
      </c>
      <c r="H42" s="7">
        <f t="shared" si="11"/>
        <v>21</v>
      </c>
      <c r="I42" s="12" t="s">
        <v>25</v>
      </c>
      <c r="J42" s="7" t="s">
        <v>26</v>
      </c>
      <c r="K42" s="7" t="s">
        <v>89</v>
      </c>
      <c r="L42" s="7" t="s">
        <v>28</v>
      </c>
      <c r="M42" s="12" t="s">
        <v>61</v>
      </c>
      <c r="N42" s="12" t="s">
        <v>62</v>
      </c>
      <c r="O42" s="91">
        <v>45352.0</v>
      </c>
      <c r="P42" s="92">
        <f t="shared" si="12"/>
        <v>45412</v>
      </c>
      <c r="Q42" s="13">
        <v>45504.0</v>
      </c>
      <c r="R42" s="14" t="s">
        <v>31</v>
      </c>
      <c r="S42" s="15">
        <v>1300000.0</v>
      </c>
      <c r="T42" s="15">
        <v>650000.0</v>
      </c>
      <c r="U42" s="14" t="s">
        <v>31</v>
      </c>
    </row>
    <row r="43" ht="15.75" hidden="1" customHeight="1">
      <c r="A43" s="12" t="s">
        <v>50</v>
      </c>
      <c r="B43" s="118">
        <v>1.030530374E9</v>
      </c>
      <c r="C43" s="12" t="s">
        <v>378</v>
      </c>
      <c r="D43" s="156">
        <v>38071.0</v>
      </c>
      <c r="E43" s="12">
        <v>3.228268404E9</v>
      </c>
      <c r="F43" s="36" t="s">
        <v>379</v>
      </c>
      <c r="G43" s="12" t="s">
        <v>330</v>
      </c>
      <c r="H43" s="7">
        <f t="shared" si="11"/>
        <v>22</v>
      </c>
      <c r="I43" s="12" t="s">
        <v>67</v>
      </c>
      <c r="J43" s="7" t="s">
        <v>26</v>
      </c>
      <c r="K43" s="7" t="s">
        <v>89</v>
      </c>
      <c r="L43" s="7" t="s">
        <v>28</v>
      </c>
      <c r="M43" s="12" t="s">
        <v>61</v>
      </c>
      <c r="N43" s="12" t="s">
        <v>62</v>
      </c>
      <c r="O43" s="91">
        <v>45226.0</v>
      </c>
      <c r="P43" s="92">
        <f>O43+90</f>
        <v>45316</v>
      </c>
      <c r="Q43" s="13">
        <v>45268.0</v>
      </c>
      <c r="R43" s="14" t="s">
        <v>31</v>
      </c>
      <c r="S43" s="15">
        <v>1160000.0</v>
      </c>
      <c r="T43" s="15">
        <v>580000.0</v>
      </c>
      <c r="U43" s="14" t="s">
        <v>31</v>
      </c>
    </row>
    <row r="44" ht="15.75" hidden="1" customHeight="1">
      <c r="A44" s="11" t="s">
        <v>267</v>
      </c>
      <c r="B44" s="125">
        <v>2.6914117E7</v>
      </c>
      <c r="C44" s="42" t="s">
        <v>380</v>
      </c>
      <c r="D44" s="37">
        <v>35478.0</v>
      </c>
      <c r="E44" s="12">
        <v>3.203274634E9</v>
      </c>
      <c r="F44" s="36" t="s">
        <v>381</v>
      </c>
      <c r="G44" s="12" t="s">
        <v>382</v>
      </c>
      <c r="H44" s="7">
        <f t="shared" si="11"/>
        <v>29</v>
      </c>
      <c r="I44" s="12" t="s">
        <v>25</v>
      </c>
      <c r="J44" s="7" t="s">
        <v>26</v>
      </c>
      <c r="K44" s="7" t="s">
        <v>89</v>
      </c>
      <c r="L44" s="11" t="s">
        <v>73</v>
      </c>
      <c r="M44" s="12" t="s">
        <v>61</v>
      </c>
      <c r="N44" s="12" t="s">
        <v>62</v>
      </c>
      <c r="O44" s="37">
        <v>45295.0</v>
      </c>
      <c r="P44" s="17">
        <f>O44+60</f>
        <v>45355</v>
      </c>
      <c r="Q44" s="11" t="s">
        <v>383</v>
      </c>
      <c r="R44" s="24" t="s">
        <v>31</v>
      </c>
      <c r="S44" s="15" t="s">
        <v>63</v>
      </c>
      <c r="T44" s="15" t="s">
        <v>63</v>
      </c>
      <c r="U44" s="24" t="s">
        <v>31</v>
      </c>
    </row>
    <row r="45" ht="15.75" hidden="1" customHeight="1">
      <c r="A45" s="25" t="s">
        <v>21</v>
      </c>
      <c r="B45" s="157">
        <v>7711784.0</v>
      </c>
      <c r="C45" s="158" t="s">
        <v>384</v>
      </c>
      <c r="D45" s="159">
        <v>36169.0</v>
      </c>
      <c r="E45" s="158">
        <v>3.224966175E9</v>
      </c>
      <c r="F45" s="160" t="s">
        <v>385</v>
      </c>
      <c r="G45" s="158" t="s">
        <v>386</v>
      </c>
      <c r="H45" s="161">
        <f t="shared" si="11"/>
        <v>27</v>
      </c>
      <c r="I45" s="12" t="s">
        <v>25</v>
      </c>
      <c r="J45" s="7" t="s">
        <v>26</v>
      </c>
      <c r="K45" s="7" t="s">
        <v>89</v>
      </c>
      <c r="L45" s="7" t="s">
        <v>28</v>
      </c>
      <c r="M45" s="12" t="s">
        <v>61</v>
      </c>
      <c r="N45" s="12" t="s">
        <v>62</v>
      </c>
      <c r="O45" s="91">
        <v>45092.0</v>
      </c>
      <c r="P45" s="92">
        <f>O45+90</f>
        <v>45182</v>
      </c>
      <c r="Q45" s="13">
        <v>45426.0</v>
      </c>
      <c r="R45" s="14" t="s">
        <v>31</v>
      </c>
      <c r="S45" s="15" t="s">
        <v>63</v>
      </c>
      <c r="T45" s="15" t="s">
        <v>63</v>
      </c>
      <c r="U45" s="14" t="s">
        <v>31</v>
      </c>
    </row>
    <row r="46" ht="15.75" hidden="1" customHeight="1">
      <c r="A46" s="11" t="s">
        <v>267</v>
      </c>
      <c r="B46" s="120">
        <v>2.8664977E7</v>
      </c>
      <c r="C46" s="121" t="s">
        <v>387</v>
      </c>
      <c r="D46" s="162">
        <v>37156.0</v>
      </c>
      <c r="E46" s="163">
        <v>5.84E16</v>
      </c>
      <c r="F46" s="121" t="s">
        <v>388</v>
      </c>
      <c r="G46" s="121" t="s">
        <v>389</v>
      </c>
      <c r="H46" s="7">
        <f t="shared" si="11"/>
        <v>25</v>
      </c>
      <c r="I46" s="12" t="s">
        <v>67</v>
      </c>
      <c r="J46" s="7" t="s">
        <v>26</v>
      </c>
      <c r="K46" s="7" t="s">
        <v>89</v>
      </c>
      <c r="L46" s="7" t="s">
        <v>73</v>
      </c>
      <c r="M46" s="12" t="s">
        <v>61</v>
      </c>
      <c r="N46" s="12" t="s">
        <v>62</v>
      </c>
      <c r="O46" s="164">
        <v>45791.0</v>
      </c>
      <c r="P46" s="17">
        <f>O46+60</f>
        <v>45851</v>
      </c>
      <c r="Q46" s="22">
        <v>45878.0</v>
      </c>
      <c r="R46" s="24" t="s">
        <v>31</v>
      </c>
      <c r="S46" s="100">
        <v>1423500.0</v>
      </c>
      <c r="T46" s="100">
        <v>711750.0</v>
      </c>
      <c r="U46" s="24" t="s">
        <v>31</v>
      </c>
    </row>
    <row r="47" ht="15.75" hidden="1" customHeight="1">
      <c r="A47" s="11" t="s">
        <v>115</v>
      </c>
      <c r="B47" s="70">
        <v>2.3430764E7</v>
      </c>
      <c r="C47" s="73" t="s">
        <v>390</v>
      </c>
      <c r="D47" s="132">
        <v>34638.0</v>
      </c>
      <c r="E47" s="73">
        <v>3.224572906E9</v>
      </c>
      <c r="F47" s="74" t="s">
        <v>391</v>
      </c>
      <c r="G47" s="73" t="s">
        <v>392</v>
      </c>
      <c r="H47" s="73">
        <f t="shared" si="11"/>
        <v>32</v>
      </c>
      <c r="I47" s="12" t="s">
        <v>25</v>
      </c>
      <c r="J47" s="7" t="s">
        <v>26</v>
      </c>
      <c r="K47" s="7" t="s">
        <v>89</v>
      </c>
      <c r="L47" s="7" t="s">
        <v>73</v>
      </c>
      <c r="M47" s="12" t="s">
        <v>61</v>
      </c>
      <c r="N47" s="12" t="s">
        <v>62</v>
      </c>
      <c r="O47" s="10">
        <v>44859.0</v>
      </c>
      <c r="P47" s="92">
        <f>O47+90</f>
        <v>44949</v>
      </c>
      <c r="Q47" s="13">
        <v>45189.0</v>
      </c>
      <c r="R47" s="14" t="s">
        <v>31</v>
      </c>
      <c r="S47" s="15" t="s">
        <v>63</v>
      </c>
      <c r="T47" s="15" t="s">
        <v>63</v>
      </c>
      <c r="U47" s="14" t="s">
        <v>31</v>
      </c>
    </row>
    <row r="48" ht="15.75" hidden="1" customHeight="1">
      <c r="A48" s="25" t="s">
        <v>50</v>
      </c>
      <c r="B48" s="120">
        <v>1.148962429E9</v>
      </c>
      <c r="C48" s="25" t="s">
        <v>393</v>
      </c>
      <c r="D48" s="94">
        <v>37354.0</v>
      </c>
      <c r="E48" s="25">
        <v>3.044096661E9</v>
      </c>
      <c r="F48" s="36" t="s">
        <v>394</v>
      </c>
      <c r="G48" s="25" t="s">
        <v>395</v>
      </c>
      <c r="H48" s="7">
        <f t="shared" si="11"/>
        <v>24</v>
      </c>
      <c r="I48" s="12" t="s">
        <v>25</v>
      </c>
      <c r="J48" s="7" t="s">
        <v>26</v>
      </c>
      <c r="K48" s="63" t="s">
        <v>89</v>
      </c>
      <c r="L48" s="7" t="s">
        <v>28</v>
      </c>
      <c r="M48" s="12" t="s">
        <v>61</v>
      </c>
      <c r="N48" s="12" t="s">
        <v>62</v>
      </c>
      <c r="O48" s="91">
        <v>45367.0</v>
      </c>
      <c r="P48" s="92">
        <f t="shared" ref="P48:P49" si="13">O48+60</f>
        <v>45427</v>
      </c>
      <c r="Q48" s="13">
        <v>45448.0</v>
      </c>
      <c r="R48" s="14" t="s">
        <v>31</v>
      </c>
      <c r="S48" s="15">
        <v>1300000.0</v>
      </c>
      <c r="T48" s="15">
        <v>650000.0</v>
      </c>
      <c r="U48" s="14" t="s">
        <v>31</v>
      </c>
    </row>
    <row r="49" ht="15.75" hidden="1" customHeight="1">
      <c r="A49" s="25" t="s">
        <v>50</v>
      </c>
      <c r="B49" s="120">
        <v>1.148962429E9</v>
      </c>
      <c r="C49" s="25" t="s">
        <v>393</v>
      </c>
      <c r="D49" s="119">
        <v>37354.0</v>
      </c>
      <c r="E49" s="121">
        <v>3.242956954E9</v>
      </c>
      <c r="F49" s="49" t="s">
        <v>396</v>
      </c>
      <c r="G49" s="121" t="s">
        <v>397</v>
      </c>
      <c r="H49" s="7">
        <f t="shared" si="11"/>
        <v>24</v>
      </c>
      <c r="I49" s="12" t="s">
        <v>25</v>
      </c>
      <c r="J49" s="11" t="s">
        <v>362</v>
      </c>
      <c r="K49" s="11" t="s">
        <v>36</v>
      </c>
      <c r="L49" s="11" t="s">
        <v>73</v>
      </c>
      <c r="M49" s="12" t="s">
        <v>61</v>
      </c>
      <c r="N49" s="12" t="s">
        <v>62</v>
      </c>
      <c r="O49" s="131">
        <v>45601.0</v>
      </c>
      <c r="P49" s="21">
        <f t="shared" si="13"/>
        <v>45661</v>
      </c>
      <c r="Q49" s="22">
        <v>45994.0</v>
      </c>
      <c r="R49" s="14" t="s">
        <v>31</v>
      </c>
      <c r="S49" s="145">
        <v>1423500.0</v>
      </c>
      <c r="T49" s="145">
        <v>711750.0</v>
      </c>
      <c r="U49" s="14" t="s">
        <v>31</v>
      </c>
    </row>
    <row r="50" ht="15.75" hidden="1" customHeight="1">
      <c r="A50" s="36" t="s">
        <v>115</v>
      </c>
      <c r="B50" s="118">
        <v>2.7568354E7</v>
      </c>
      <c r="C50" s="42" t="s">
        <v>398</v>
      </c>
      <c r="D50" s="47">
        <v>36140.0</v>
      </c>
      <c r="E50" s="12">
        <v>0.0</v>
      </c>
      <c r="F50" s="36" t="s">
        <v>399</v>
      </c>
      <c r="G50" s="12" t="s">
        <v>400</v>
      </c>
      <c r="H50" s="73">
        <f t="shared" si="11"/>
        <v>28</v>
      </c>
      <c r="I50" s="12" t="s">
        <v>25</v>
      </c>
      <c r="J50" s="7" t="s">
        <v>26</v>
      </c>
      <c r="K50" s="7" t="s">
        <v>89</v>
      </c>
      <c r="L50" s="7" t="s">
        <v>28</v>
      </c>
      <c r="M50" s="12" t="s">
        <v>61</v>
      </c>
      <c r="N50" s="12" t="s">
        <v>62</v>
      </c>
      <c r="O50" s="91">
        <v>44998.0</v>
      </c>
      <c r="P50" s="92">
        <f t="shared" ref="P50:P52" si="14">O50+90</f>
        <v>45088</v>
      </c>
      <c r="Q50" s="13">
        <v>45032.0</v>
      </c>
      <c r="R50" s="14" t="s">
        <v>31</v>
      </c>
      <c r="S50" s="15">
        <v>1160000.0</v>
      </c>
      <c r="T50" s="15">
        <v>580000.0</v>
      </c>
      <c r="U50" s="14" t="s">
        <v>31</v>
      </c>
    </row>
    <row r="51" ht="15.75" hidden="1" customHeight="1">
      <c r="A51" s="25" t="s">
        <v>50</v>
      </c>
      <c r="B51" s="120">
        <v>1.242688593E9</v>
      </c>
      <c r="C51" s="25" t="s">
        <v>401</v>
      </c>
      <c r="D51" s="119">
        <v>35806.0</v>
      </c>
      <c r="E51" s="25">
        <v>3.202071425E9</v>
      </c>
      <c r="F51" s="121" t="s">
        <v>402</v>
      </c>
      <c r="G51" s="25" t="s">
        <v>403</v>
      </c>
      <c r="H51" s="73">
        <f t="shared" si="11"/>
        <v>28</v>
      </c>
      <c r="I51" s="12" t="s">
        <v>25</v>
      </c>
      <c r="J51" s="7" t="s">
        <v>26</v>
      </c>
      <c r="K51" s="7" t="s">
        <v>89</v>
      </c>
      <c r="L51" s="7" t="s">
        <v>28</v>
      </c>
      <c r="M51" s="12" t="s">
        <v>61</v>
      </c>
      <c r="N51" s="12" t="s">
        <v>62</v>
      </c>
      <c r="O51" s="91">
        <v>45107.0</v>
      </c>
      <c r="P51" s="92">
        <f t="shared" si="14"/>
        <v>45197</v>
      </c>
      <c r="Q51" s="13">
        <v>45137.0</v>
      </c>
      <c r="R51" s="14" t="s">
        <v>31</v>
      </c>
      <c r="S51" s="15">
        <v>1160000.0</v>
      </c>
      <c r="T51" s="15">
        <v>580000.0</v>
      </c>
      <c r="U51" s="14" t="s">
        <v>31</v>
      </c>
    </row>
    <row r="52" ht="15.75" hidden="1" customHeight="1">
      <c r="A52" s="12" t="s">
        <v>21</v>
      </c>
      <c r="B52" s="118">
        <v>6434093.0</v>
      </c>
      <c r="C52" s="42" t="s">
        <v>404</v>
      </c>
      <c r="D52" s="47">
        <v>35031.0</v>
      </c>
      <c r="E52" s="12">
        <v>3.209480205E9</v>
      </c>
      <c r="F52" s="36" t="s">
        <v>405</v>
      </c>
      <c r="G52" s="12" t="s">
        <v>266</v>
      </c>
      <c r="H52" s="7">
        <f t="shared" si="11"/>
        <v>31</v>
      </c>
      <c r="I52" s="12" t="s">
        <v>25</v>
      </c>
      <c r="J52" s="7" t="s">
        <v>26</v>
      </c>
      <c r="K52" s="7" t="s">
        <v>89</v>
      </c>
      <c r="L52" s="7" t="s">
        <v>73</v>
      </c>
      <c r="M52" s="12" t="s">
        <v>61</v>
      </c>
      <c r="N52" s="12" t="s">
        <v>62</v>
      </c>
      <c r="O52" s="91">
        <v>45139.0</v>
      </c>
      <c r="P52" s="92">
        <f t="shared" si="14"/>
        <v>45229</v>
      </c>
      <c r="Q52" s="7" t="s">
        <v>406</v>
      </c>
      <c r="R52" s="14" t="s">
        <v>31</v>
      </c>
      <c r="S52" s="15" t="s">
        <v>63</v>
      </c>
      <c r="T52" s="15" t="s">
        <v>63</v>
      </c>
      <c r="U52" s="14" t="s">
        <v>31</v>
      </c>
    </row>
    <row r="53" ht="15.75" hidden="1" customHeight="1">
      <c r="A53" s="12" t="s">
        <v>21</v>
      </c>
      <c r="B53" s="118">
        <v>2799768.0</v>
      </c>
      <c r="C53" s="12" t="s">
        <v>407</v>
      </c>
      <c r="D53" s="47">
        <v>33631.0</v>
      </c>
      <c r="E53" s="12">
        <v>3.164425293E9</v>
      </c>
      <c r="F53" s="36" t="s">
        <v>408</v>
      </c>
      <c r="G53" s="12" t="s">
        <v>409</v>
      </c>
      <c r="H53" s="7">
        <f t="shared" si="11"/>
        <v>34</v>
      </c>
      <c r="I53" s="12" t="s">
        <v>25</v>
      </c>
      <c r="J53" s="7" t="s">
        <v>26</v>
      </c>
      <c r="K53" s="7" t="s">
        <v>89</v>
      </c>
      <c r="L53" s="7" t="s">
        <v>28</v>
      </c>
      <c r="M53" s="12" t="s">
        <v>61</v>
      </c>
      <c r="N53" s="12" t="s">
        <v>62</v>
      </c>
      <c r="O53" s="91">
        <v>45427.0</v>
      </c>
      <c r="P53" s="92">
        <f>O53+60</f>
        <v>45487</v>
      </c>
      <c r="Q53" s="11" t="s">
        <v>410</v>
      </c>
      <c r="R53" s="14" t="s">
        <v>31</v>
      </c>
      <c r="S53" s="15" t="s">
        <v>63</v>
      </c>
      <c r="T53" s="15" t="s">
        <v>63</v>
      </c>
      <c r="U53" s="14" t="s">
        <v>31</v>
      </c>
    </row>
    <row r="54" ht="15.75" hidden="1" customHeight="1">
      <c r="A54" s="12" t="s">
        <v>50</v>
      </c>
      <c r="B54" s="118">
        <v>1.022423331E9</v>
      </c>
      <c r="C54" s="42" t="s">
        <v>411</v>
      </c>
      <c r="D54" s="47">
        <v>35367.0</v>
      </c>
      <c r="E54" s="12">
        <v>3.209856427E9</v>
      </c>
      <c r="F54" s="36" t="s">
        <v>412</v>
      </c>
      <c r="G54" s="36" t="s">
        <v>413</v>
      </c>
      <c r="H54" s="73">
        <f t="shared" si="11"/>
        <v>30</v>
      </c>
      <c r="I54" s="12" t="s">
        <v>25</v>
      </c>
      <c r="J54" s="7" t="s">
        <v>26</v>
      </c>
      <c r="K54" s="7" t="s">
        <v>89</v>
      </c>
      <c r="L54" s="7" t="s">
        <v>48</v>
      </c>
      <c r="M54" s="12" t="s">
        <v>61</v>
      </c>
      <c r="N54" s="12" t="s">
        <v>62</v>
      </c>
      <c r="O54" s="91">
        <v>45066.0</v>
      </c>
      <c r="P54" s="92">
        <f t="shared" ref="P54:P55" si="15">O54+90</f>
        <v>45156</v>
      </c>
      <c r="Q54" s="13">
        <v>45086.0</v>
      </c>
      <c r="R54" s="14" t="s">
        <v>31</v>
      </c>
      <c r="S54" s="15">
        <v>1160000.0</v>
      </c>
      <c r="T54" s="15">
        <v>580000.0</v>
      </c>
      <c r="U54" s="14" t="s">
        <v>31</v>
      </c>
    </row>
    <row r="55" ht="15.75" hidden="1" customHeight="1">
      <c r="A55" s="11" t="s">
        <v>115</v>
      </c>
      <c r="B55" s="8">
        <v>3.0308189E7</v>
      </c>
      <c r="C55" s="7" t="s">
        <v>414</v>
      </c>
      <c r="D55" s="21">
        <v>36374.0</v>
      </c>
      <c r="E55" s="7">
        <v>3.017360467E9</v>
      </c>
      <c r="F55" s="11" t="s">
        <v>415</v>
      </c>
      <c r="G55" s="7" t="s">
        <v>416</v>
      </c>
      <c r="H55" s="7">
        <f t="shared" si="11"/>
        <v>27</v>
      </c>
      <c r="I55" s="12" t="s">
        <v>25</v>
      </c>
      <c r="J55" s="7" t="s">
        <v>26</v>
      </c>
      <c r="K55" s="7" t="s">
        <v>89</v>
      </c>
      <c r="L55" s="7" t="s">
        <v>28</v>
      </c>
      <c r="M55" s="12" t="s">
        <v>61</v>
      </c>
      <c r="N55" s="12" t="s">
        <v>62</v>
      </c>
      <c r="O55" s="10">
        <v>44885.0</v>
      </c>
      <c r="P55" s="92">
        <f t="shared" si="15"/>
        <v>44975</v>
      </c>
      <c r="Q55" s="13">
        <v>44985.0</v>
      </c>
      <c r="R55" s="14" t="s">
        <v>31</v>
      </c>
      <c r="S55" s="15">
        <v>1160000.0</v>
      </c>
      <c r="T55" s="15">
        <v>580000.0</v>
      </c>
      <c r="U55" s="14" t="s">
        <v>31</v>
      </c>
    </row>
    <row r="56" ht="15.75" customHeight="1">
      <c r="A56" s="11" t="s">
        <v>267</v>
      </c>
      <c r="B56" s="120">
        <v>3.0308189E7</v>
      </c>
      <c r="C56" s="148" t="s">
        <v>414</v>
      </c>
      <c r="D56" s="165">
        <v>36374.0</v>
      </c>
      <c r="E56" s="121">
        <v>3.027451116E9</v>
      </c>
      <c r="F56" s="121" t="s">
        <v>415</v>
      </c>
      <c r="G56" s="121" t="s">
        <v>417</v>
      </c>
      <c r="H56" s="7">
        <f t="shared" si="11"/>
        <v>27</v>
      </c>
      <c r="I56" s="12" t="s">
        <v>25</v>
      </c>
      <c r="J56" s="7" t="s">
        <v>26</v>
      </c>
      <c r="K56" s="7" t="s">
        <v>89</v>
      </c>
      <c r="L56" s="11" t="s">
        <v>28</v>
      </c>
      <c r="M56" s="12" t="s">
        <v>61</v>
      </c>
      <c r="N56" s="12" t="s">
        <v>62</v>
      </c>
      <c r="O56" s="164">
        <v>45627.0</v>
      </c>
      <c r="P56" s="17">
        <f>O56+60</f>
        <v>45687</v>
      </c>
      <c r="Q56" s="7"/>
      <c r="R56" s="12" t="s">
        <v>39</v>
      </c>
      <c r="S56" s="100" t="s">
        <v>63</v>
      </c>
      <c r="T56" s="100" t="s">
        <v>63</v>
      </c>
      <c r="U56" s="36" t="s">
        <v>229</v>
      </c>
    </row>
    <row r="57" ht="15.75" hidden="1" customHeight="1">
      <c r="A57" s="49" t="s">
        <v>50</v>
      </c>
      <c r="B57" s="129">
        <v>1.000120779E9</v>
      </c>
      <c r="C57" s="49" t="s">
        <v>418</v>
      </c>
      <c r="D57" s="166">
        <v>37070.0</v>
      </c>
      <c r="E57" s="49">
        <v>3.50504362E9</v>
      </c>
      <c r="F57" s="49" t="s">
        <v>419</v>
      </c>
      <c r="G57" s="49" t="s">
        <v>420</v>
      </c>
      <c r="H57" s="73">
        <f t="shared" si="11"/>
        <v>25</v>
      </c>
      <c r="I57" s="12" t="s">
        <v>25</v>
      </c>
      <c r="J57" s="150" t="s">
        <v>26</v>
      </c>
      <c r="K57" s="150" t="s">
        <v>89</v>
      </c>
      <c r="L57" s="11" t="s">
        <v>28</v>
      </c>
      <c r="M57" s="12" t="s">
        <v>61</v>
      </c>
      <c r="N57" s="12" t="s">
        <v>62</v>
      </c>
      <c r="O57" s="46">
        <v>45828.0</v>
      </c>
      <c r="P57" s="17">
        <f t="shared" ref="P57:P58" si="16">O57+90</f>
        <v>45918</v>
      </c>
      <c r="Q57" s="22">
        <v>45722.0</v>
      </c>
      <c r="R57" s="24" t="s">
        <v>31</v>
      </c>
      <c r="S57" s="100">
        <v>1623500.0</v>
      </c>
      <c r="T57" s="100">
        <v>811750.0</v>
      </c>
      <c r="U57" s="14" t="s">
        <v>31</v>
      </c>
    </row>
    <row r="58" ht="15.75" hidden="1" customHeight="1">
      <c r="A58" s="42" t="s">
        <v>21</v>
      </c>
      <c r="B58" s="129">
        <v>5931024.0</v>
      </c>
      <c r="C58" s="42" t="s">
        <v>421</v>
      </c>
      <c r="D58" s="156">
        <v>35646.0</v>
      </c>
      <c r="E58" s="42">
        <v>3.228588707E9</v>
      </c>
      <c r="F58" s="49" t="s">
        <v>422</v>
      </c>
      <c r="G58" s="49" t="s">
        <v>423</v>
      </c>
      <c r="H58" s="7">
        <f t="shared" si="11"/>
        <v>29</v>
      </c>
      <c r="I58" s="12" t="s">
        <v>25</v>
      </c>
      <c r="J58" s="7" t="s">
        <v>35</v>
      </c>
      <c r="K58" s="11" t="s">
        <v>36</v>
      </c>
      <c r="L58" s="7" t="s">
        <v>48</v>
      </c>
      <c r="M58" s="12" t="s">
        <v>61</v>
      </c>
      <c r="N58" s="12" t="s">
        <v>62</v>
      </c>
      <c r="O58" s="167">
        <v>45073.0</v>
      </c>
      <c r="P58" s="21">
        <f t="shared" si="16"/>
        <v>45163</v>
      </c>
      <c r="Q58" s="22">
        <v>45965.0</v>
      </c>
      <c r="R58" s="14" t="s">
        <v>31</v>
      </c>
      <c r="S58" s="15" t="s">
        <v>63</v>
      </c>
      <c r="T58" s="15" t="s">
        <v>63</v>
      </c>
      <c r="U58" s="14" t="s">
        <v>31</v>
      </c>
    </row>
    <row r="59" ht="15.75" hidden="1" customHeight="1">
      <c r="A59" s="121" t="s">
        <v>115</v>
      </c>
      <c r="B59" s="120">
        <v>3.1902982E7</v>
      </c>
      <c r="C59" s="25" t="s">
        <v>424</v>
      </c>
      <c r="D59" s="47">
        <v>38560.0</v>
      </c>
      <c r="E59" s="25">
        <v>3.043803012E9</v>
      </c>
      <c r="F59" s="36" t="s">
        <v>394</v>
      </c>
      <c r="G59" s="12" t="s">
        <v>425</v>
      </c>
      <c r="H59" s="73">
        <f t="shared" si="11"/>
        <v>21</v>
      </c>
      <c r="I59" s="12" t="s">
        <v>67</v>
      </c>
      <c r="J59" s="7" t="s">
        <v>26</v>
      </c>
      <c r="K59" s="63" t="s">
        <v>89</v>
      </c>
      <c r="L59" s="7" t="s">
        <v>73</v>
      </c>
      <c r="M59" s="12" t="s">
        <v>61</v>
      </c>
      <c r="N59" s="12" t="s">
        <v>62</v>
      </c>
      <c r="O59" s="168">
        <v>45394.0</v>
      </c>
      <c r="P59" s="92">
        <f>O59+60</f>
        <v>45454</v>
      </c>
      <c r="Q59" s="13">
        <v>45464.0</v>
      </c>
      <c r="R59" s="14" t="s">
        <v>31</v>
      </c>
      <c r="S59" s="15" t="s">
        <v>63</v>
      </c>
      <c r="T59" s="15" t="s">
        <v>63</v>
      </c>
      <c r="U59" s="14" t="s">
        <v>31</v>
      </c>
    </row>
    <row r="60" ht="15.75" hidden="1" customHeight="1">
      <c r="A60" s="42" t="s">
        <v>21</v>
      </c>
      <c r="B60" s="129">
        <v>6997571.0</v>
      </c>
      <c r="C60" s="42" t="s">
        <v>426</v>
      </c>
      <c r="D60" s="47">
        <v>35463.0</v>
      </c>
      <c r="E60" s="49">
        <v>3.224711829E9</v>
      </c>
      <c r="F60" s="36" t="s">
        <v>427</v>
      </c>
      <c r="G60" s="12" t="s">
        <v>428</v>
      </c>
      <c r="H60" s="73">
        <f t="shared" si="11"/>
        <v>29</v>
      </c>
      <c r="I60" s="12" t="s">
        <v>25</v>
      </c>
      <c r="J60" s="7" t="s">
        <v>35</v>
      </c>
      <c r="K60" s="11" t="s">
        <v>36</v>
      </c>
      <c r="L60" s="7" t="s">
        <v>28</v>
      </c>
      <c r="M60" s="12" t="s">
        <v>61</v>
      </c>
      <c r="N60" s="12" t="s">
        <v>62</v>
      </c>
      <c r="O60" s="167">
        <v>45073.0</v>
      </c>
      <c r="P60" s="21">
        <f t="shared" ref="P60:P62" si="17">O60+90</f>
        <v>45163</v>
      </c>
      <c r="Q60" s="11" t="s">
        <v>429</v>
      </c>
      <c r="R60" s="14" t="s">
        <v>31</v>
      </c>
      <c r="S60" s="15" t="s">
        <v>63</v>
      </c>
      <c r="T60" s="15" t="s">
        <v>63</v>
      </c>
      <c r="U60" s="14" t="s">
        <v>31</v>
      </c>
    </row>
    <row r="61" ht="15.75" hidden="1" customHeight="1">
      <c r="A61" s="36" t="s">
        <v>115</v>
      </c>
      <c r="B61" s="118">
        <v>2.7551583E7</v>
      </c>
      <c r="C61" s="42" t="s">
        <v>430</v>
      </c>
      <c r="D61" s="47">
        <v>36819.0</v>
      </c>
      <c r="E61" s="12">
        <v>3.204722483E9</v>
      </c>
      <c r="F61" s="36" t="s">
        <v>431</v>
      </c>
      <c r="G61" s="12" t="s">
        <v>432</v>
      </c>
      <c r="H61" s="7">
        <f t="shared" si="11"/>
        <v>26</v>
      </c>
      <c r="I61" s="12" t="s">
        <v>25</v>
      </c>
      <c r="J61" s="7" t="s">
        <v>26</v>
      </c>
      <c r="K61" s="7" t="s">
        <v>89</v>
      </c>
      <c r="L61" s="7" t="s">
        <v>28</v>
      </c>
      <c r="M61" s="12" t="s">
        <v>61</v>
      </c>
      <c r="N61" s="12" t="s">
        <v>62</v>
      </c>
      <c r="O61" s="91">
        <v>44978.0</v>
      </c>
      <c r="P61" s="92">
        <f t="shared" si="17"/>
        <v>45068</v>
      </c>
      <c r="Q61" s="13">
        <v>45059.0</v>
      </c>
      <c r="R61" s="14" t="s">
        <v>31</v>
      </c>
      <c r="S61" s="15">
        <v>1160000.0</v>
      </c>
      <c r="T61" s="15">
        <v>580000.0</v>
      </c>
      <c r="U61" s="14" t="s">
        <v>31</v>
      </c>
    </row>
    <row r="62" ht="15.75" hidden="1" customHeight="1">
      <c r="A62" s="36" t="s">
        <v>115</v>
      </c>
      <c r="B62" s="118">
        <v>2.5884404E7</v>
      </c>
      <c r="C62" s="12" t="s">
        <v>433</v>
      </c>
      <c r="D62" s="47">
        <v>35629.0</v>
      </c>
      <c r="E62" s="12">
        <v>3.002181347E9</v>
      </c>
      <c r="F62" s="36" t="s">
        <v>434</v>
      </c>
      <c r="G62" s="12" t="s">
        <v>435</v>
      </c>
      <c r="H62" s="7">
        <f t="shared" si="11"/>
        <v>29</v>
      </c>
      <c r="I62" s="12" t="s">
        <v>25</v>
      </c>
      <c r="J62" s="7" t="s">
        <v>26</v>
      </c>
      <c r="K62" s="7" t="s">
        <v>89</v>
      </c>
      <c r="L62" s="7" t="s">
        <v>73</v>
      </c>
      <c r="M62" s="12" t="s">
        <v>61</v>
      </c>
      <c r="N62" s="12" t="s">
        <v>62</v>
      </c>
      <c r="O62" s="91">
        <v>45194.0</v>
      </c>
      <c r="P62" s="92">
        <f t="shared" si="17"/>
        <v>45284</v>
      </c>
      <c r="Q62" s="13">
        <v>45351.0</v>
      </c>
      <c r="R62" s="14" t="s">
        <v>31</v>
      </c>
      <c r="S62" s="15">
        <v>1300000.0</v>
      </c>
      <c r="T62" s="54">
        <v>650000.0</v>
      </c>
      <c r="U62" s="14" t="s">
        <v>31</v>
      </c>
    </row>
    <row r="63" ht="15.75" hidden="1" customHeight="1">
      <c r="A63" s="67" t="s">
        <v>21</v>
      </c>
      <c r="B63" s="96">
        <v>5230763.0</v>
      </c>
      <c r="C63" s="52" t="s">
        <v>433</v>
      </c>
      <c r="D63" s="94">
        <v>35629.0</v>
      </c>
      <c r="E63" s="52">
        <v>3.002181347E9</v>
      </c>
      <c r="F63" s="117" t="s">
        <v>434</v>
      </c>
      <c r="G63" s="52" t="s">
        <v>435</v>
      </c>
      <c r="H63" s="95">
        <f t="shared" si="11"/>
        <v>29</v>
      </c>
      <c r="I63" s="12" t="s">
        <v>25</v>
      </c>
      <c r="J63" s="7" t="s">
        <v>26</v>
      </c>
      <c r="K63" s="7" t="s">
        <v>89</v>
      </c>
      <c r="L63" s="7" t="s">
        <v>28</v>
      </c>
      <c r="M63" s="12" t="s">
        <v>61</v>
      </c>
      <c r="N63" s="12" t="s">
        <v>62</v>
      </c>
      <c r="O63" s="91">
        <v>45411.0</v>
      </c>
      <c r="P63" s="92">
        <f>O63+60</f>
        <v>45471</v>
      </c>
      <c r="Q63" s="13">
        <v>45459.0</v>
      </c>
      <c r="R63" s="14" t="s">
        <v>31</v>
      </c>
      <c r="S63" s="15">
        <v>1300000.0</v>
      </c>
      <c r="T63" s="15">
        <v>650000.0</v>
      </c>
      <c r="U63" s="14" t="s">
        <v>31</v>
      </c>
    </row>
    <row r="64" ht="15.75" hidden="1" customHeight="1">
      <c r="A64" s="36" t="s">
        <v>115</v>
      </c>
      <c r="B64" s="118">
        <v>2.7651398E7</v>
      </c>
      <c r="C64" s="42" t="s">
        <v>436</v>
      </c>
      <c r="D64" s="47">
        <v>36753.0</v>
      </c>
      <c r="E64" s="42">
        <v>3.004524798E9</v>
      </c>
      <c r="F64" s="36" t="s">
        <v>437</v>
      </c>
      <c r="G64" s="12" t="s">
        <v>438</v>
      </c>
      <c r="H64" s="73">
        <f t="shared" si="11"/>
        <v>26</v>
      </c>
      <c r="I64" s="12" t="s">
        <v>25</v>
      </c>
      <c r="J64" s="7" t="s">
        <v>26</v>
      </c>
      <c r="K64" s="7" t="s">
        <v>89</v>
      </c>
      <c r="L64" s="7" t="s">
        <v>48</v>
      </c>
      <c r="M64" s="12" t="s">
        <v>61</v>
      </c>
      <c r="N64" s="12" t="s">
        <v>62</v>
      </c>
      <c r="O64" s="91">
        <v>45108.0</v>
      </c>
      <c r="P64" s="92">
        <f>O64+90</f>
        <v>45198</v>
      </c>
      <c r="Q64" s="13">
        <v>45351.0</v>
      </c>
      <c r="R64" s="14" t="s">
        <v>31</v>
      </c>
      <c r="S64" s="15">
        <v>1300000.0</v>
      </c>
      <c r="T64" s="15">
        <v>650000.0</v>
      </c>
      <c r="U64" s="14" t="s">
        <v>31</v>
      </c>
    </row>
    <row r="65" ht="15.75" hidden="1" customHeight="1">
      <c r="A65" s="117" t="s">
        <v>115</v>
      </c>
      <c r="B65" s="169">
        <v>2.7651398E7</v>
      </c>
      <c r="C65" s="170" t="s">
        <v>436</v>
      </c>
      <c r="D65" s="171">
        <v>36753.0</v>
      </c>
      <c r="E65" s="170">
        <v>3.004524798E9</v>
      </c>
      <c r="F65" s="30" t="s">
        <v>437</v>
      </c>
      <c r="G65" s="172" t="s">
        <v>438</v>
      </c>
      <c r="H65" s="150">
        <f t="shared" si="11"/>
        <v>26</v>
      </c>
      <c r="I65" s="12" t="s">
        <v>25</v>
      </c>
      <c r="J65" s="150" t="s">
        <v>26</v>
      </c>
      <c r="K65" s="150" t="s">
        <v>89</v>
      </c>
      <c r="L65" s="150" t="s">
        <v>48</v>
      </c>
      <c r="M65" s="173" t="s">
        <v>61</v>
      </c>
      <c r="N65" s="173" t="s">
        <v>62</v>
      </c>
      <c r="O65" s="123">
        <v>45108.0</v>
      </c>
      <c r="P65" s="174">
        <f>O65+90</f>
        <v>45198</v>
      </c>
      <c r="Q65" s="175">
        <v>45351.0</v>
      </c>
      <c r="R65" s="14" t="s">
        <v>31</v>
      </c>
      <c r="S65" s="32">
        <v>1300000.0</v>
      </c>
      <c r="T65" s="32">
        <v>650000.0</v>
      </c>
      <c r="U65" s="14" t="s">
        <v>31</v>
      </c>
      <c r="V65" s="176"/>
      <c r="W65" s="176"/>
      <c r="X65" s="176"/>
      <c r="Y65" s="176"/>
      <c r="Z65" s="176"/>
    </row>
    <row r="66" ht="15.75" hidden="1" customHeight="1">
      <c r="A66" s="121" t="s">
        <v>115</v>
      </c>
      <c r="B66" s="169">
        <v>2.7651398E7</v>
      </c>
      <c r="C66" s="170" t="s">
        <v>436</v>
      </c>
      <c r="D66" s="177">
        <v>36753.0</v>
      </c>
      <c r="E66" s="170">
        <v>3.004524798E9</v>
      </c>
      <c r="F66" s="30" t="s">
        <v>439</v>
      </c>
      <c r="G66" s="30" t="s">
        <v>440</v>
      </c>
      <c r="H66" s="144">
        <f t="shared" si="11"/>
        <v>26</v>
      </c>
      <c r="I66" s="12" t="s">
        <v>25</v>
      </c>
      <c r="J66" s="150" t="s">
        <v>26</v>
      </c>
      <c r="K66" s="150" t="s">
        <v>89</v>
      </c>
      <c r="L66" s="150" t="s">
        <v>48</v>
      </c>
      <c r="M66" s="173" t="s">
        <v>61</v>
      </c>
      <c r="N66" s="173" t="s">
        <v>62</v>
      </c>
      <c r="O66" s="164">
        <v>45594.0</v>
      </c>
      <c r="P66" s="17">
        <f>O66+60</f>
        <v>45654</v>
      </c>
      <c r="Q66" s="11" t="s">
        <v>441</v>
      </c>
      <c r="R66" s="24" t="s">
        <v>31</v>
      </c>
      <c r="S66" s="38" t="s">
        <v>63</v>
      </c>
      <c r="T66" s="38" t="s">
        <v>63</v>
      </c>
      <c r="U66" s="14" t="s">
        <v>31</v>
      </c>
      <c r="V66" s="176"/>
      <c r="W66" s="176"/>
      <c r="X66" s="176"/>
      <c r="Y66" s="176"/>
      <c r="Z66" s="176"/>
    </row>
    <row r="67" ht="15.75" hidden="1" customHeight="1">
      <c r="A67" s="67" t="s">
        <v>21</v>
      </c>
      <c r="B67" s="178">
        <v>6438274.0</v>
      </c>
      <c r="C67" s="67" t="s">
        <v>442</v>
      </c>
      <c r="D67" s="139">
        <v>37908.0</v>
      </c>
      <c r="E67" s="67">
        <v>3.115106243E9</v>
      </c>
      <c r="F67" s="107" t="s">
        <v>443</v>
      </c>
      <c r="G67" s="67" t="s">
        <v>444</v>
      </c>
      <c r="H67" s="63">
        <f t="shared" si="11"/>
        <v>23</v>
      </c>
      <c r="I67" s="12" t="s">
        <v>25</v>
      </c>
      <c r="J67" s="7" t="s">
        <v>26</v>
      </c>
      <c r="K67" s="7" t="s">
        <v>89</v>
      </c>
      <c r="L67" s="7" t="s">
        <v>28</v>
      </c>
      <c r="M67" s="12" t="s">
        <v>61</v>
      </c>
      <c r="N67" s="12" t="s">
        <v>62</v>
      </c>
      <c r="O67" s="110">
        <v>45380.0</v>
      </c>
      <c r="P67" s="92">
        <f t="shared" ref="P67:P68" si="18">O67+60</f>
        <v>45440</v>
      </c>
      <c r="Q67" s="13">
        <v>45432.0</v>
      </c>
      <c r="R67" s="14" t="s">
        <v>31</v>
      </c>
      <c r="S67" s="15">
        <v>1300000.0</v>
      </c>
      <c r="T67" s="15">
        <v>650000.0</v>
      </c>
      <c r="U67" s="14" t="s">
        <v>31</v>
      </c>
    </row>
    <row r="68" ht="15.75" hidden="1" customHeight="1">
      <c r="A68" s="97" t="s">
        <v>21</v>
      </c>
      <c r="B68" s="179">
        <v>2241170.0</v>
      </c>
      <c r="C68" s="97" t="s">
        <v>153</v>
      </c>
      <c r="D68" s="180">
        <v>37177.0</v>
      </c>
      <c r="E68" s="97">
        <v>3.144648995E9</v>
      </c>
      <c r="F68" s="97" t="s">
        <v>445</v>
      </c>
      <c r="G68" s="97" t="s">
        <v>446</v>
      </c>
      <c r="H68" s="181">
        <f t="shared" si="11"/>
        <v>25</v>
      </c>
      <c r="I68" s="12" t="s">
        <v>25</v>
      </c>
      <c r="J68" s="150" t="s">
        <v>26</v>
      </c>
      <c r="K68" s="63" t="s">
        <v>89</v>
      </c>
      <c r="L68" s="7" t="s">
        <v>73</v>
      </c>
      <c r="M68" s="12" t="s">
        <v>61</v>
      </c>
      <c r="N68" s="12" t="s">
        <v>62</v>
      </c>
      <c r="O68" s="182">
        <v>45451.0</v>
      </c>
      <c r="P68" s="47">
        <f t="shared" si="18"/>
        <v>45511</v>
      </c>
      <c r="Q68" s="22">
        <v>45779.0</v>
      </c>
      <c r="R68" s="14" t="s">
        <v>31</v>
      </c>
      <c r="S68" s="145">
        <v>1423500.0</v>
      </c>
      <c r="T68" s="145">
        <v>711750.0</v>
      </c>
      <c r="U68" s="14" t="s">
        <v>31</v>
      </c>
    </row>
    <row r="69" ht="15.75" hidden="1" customHeight="1">
      <c r="A69" s="12" t="s">
        <v>21</v>
      </c>
      <c r="B69" s="118">
        <v>5699313.0</v>
      </c>
      <c r="C69" s="42" t="s">
        <v>447</v>
      </c>
      <c r="D69" s="47">
        <v>28348.0</v>
      </c>
      <c r="E69" s="12">
        <v>3.243399258E9</v>
      </c>
      <c r="F69" s="36" t="s">
        <v>448</v>
      </c>
      <c r="G69" s="12" t="s">
        <v>449</v>
      </c>
      <c r="H69" s="7">
        <f t="shared" si="11"/>
        <v>49</v>
      </c>
      <c r="I69" s="12" t="s">
        <v>25</v>
      </c>
      <c r="J69" s="7" t="s">
        <v>26</v>
      </c>
      <c r="K69" s="7" t="s">
        <v>89</v>
      </c>
      <c r="L69" s="7" t="s">
        <v>28</v>
      </c>
      <c r="M69" s="12" t="s">
        <v>61</v>
      </c>
      <c r="N69" s="12" t="s">
        <v>62</v>
      </c>
      <c r="O69" s="91">
        <v>45039.0</v>
      </c>
      <c r="P69" s="92">
        <f t="shared" ref="P69:P70" si="19">O69+90</f>
        <v>45129</v>
      </c>
      <c r="Q69" s="13">
        <v>45175.0</v>
      </c>
      <c r="R69" s="14" t="s">
        <v>31</v>
      </c>
      <c r="S69" s="15">
        <v>1160000.0</v>
      </c>
      <c r="T69" s="15">
        <v>580000.0</v>
      </c>
      <c r="U69" s="14" t="s">
        <v>31</v>
      </c>
    </row>
    <row r="70" ht="15.75" hidden="1" customHeight="1">
      <c r="A70" s="36" t="s">
        <v>115</v>
      </c>
      <c r="B70" s="118">
        <v>1.8500321E7</v>
      </c>
      <c r="C70" s="12" t="s">
        <v>450</v>
      </c>
      <c r="D70" s="183">
        <v>32616.0</v>
      </c>
      <c r="E70" s="12" t="s">
        <v>451</v>
      </c>
      <c r="F70" s="36" t="s">
        <v>452</v>
      </c>
      <c r="G70" s="12" t="s">
        <v>453</v>
      </c>
      <c r="H70" s="73">
        <f t="shared" si="11"/>
        <v>37</v>
      </c>
      <c r="I70" s="12" t="s">
        <v>25</v>
      </c>
      <c r="J70" s="7" t="s">
        <v>26</v>
      </c>
      <c r="K70" s="7" t="s">
        <v>89</v>
      </c>
      <c r="L70" s="7" t="s">
        <v>28</v>
      </c>
      <c r="M70" s="12" t="s">
        <v>61</v>
      </c>
      <c r="N70" s="12" t="s">
        <v>62</v>
      </c>
      <c r="O70" s="91">
        <v>45225.0</v>
      </c>
      <c r="P70" s="92">
        <f t="shared" si="19"/>
        <v>45315</v>
      </c>
      <c r="Q70" s="13">
        <v>45375.0</v>
      </c>
      <c r="R70" s="14" t="s">
        <v>31</v>
      </c>
      <c r="S70" s="15">
        <v>1300000.0</v>
      </c>
      <c r="T70" s="15">
        <v>650000.0</v>
      </c>
      <c r="U70" s="14" t="s">
        <v>31</v>
      </c>
    </row>
    <row r="71" ht="15.75" hidden="1" customHeight="1">
      <c r="A71" s="12" t="s">
        <v>21</v>
      </c>
      <c r="B71" s="118">
        <v>5918659.0</v>
      </c>
      <c r="C71" s="12" t="s">
        <v>454</v>
      </c>
      <c r="D71" s="47">
        <v>36905.0</v>
      </c>
      <c r="E71" s="12">
        <v>3.223369032E9</v>
      </c>
      <c r="F71" s="36" t="s">
        <v>455</v>
      </c>
      <c r="G71" s="12" t="s">
        <v>456</v>
      </c>
      <c r="H71" s="7">
        <f t="shared" si="11"/>
        <v>25</v>
      </c>
      <c r="I71" s="12" t="s">
        <v>25</v>
      </c>
      <c r="J71" s="7" t="s">
        <v>26</v>
      </c>
      <c r="K71" s="7" t="s">
        <v>89</v>
      </c>
      <c r="L71" s="7" t="s">
        <v>28</v>
      </c>
      <c r="M71" s="12" t="s">
        <v>61</v>
      </c>
      <c r="N71" s="12" t="s">
        <v>62</v>
      </c>
      <c r="O71" s="91">
        <v>45305.0</v>
      </c>
      <c r="P71" s="92">
        <f>O71+60</f>
        <v>45365</v>
      </c>
      <c r="Q71" s="13">
        <v>45351.0</v>
      </c>
      <c r="R71" s="14" t="s">
        <v>31</v>
      </c>
      <c r="S71" s="15">
        <v>1300000.0</v>
      </c>
      <c r="T71" s="15">
        <v>650000.0</v>
      </c>
      <c r="U71" s="14" t="s">
        <v>31</v>
      </c>
    </row>
    <row r="72" ht="15.75" hidden="1" customHeight="1">
      <c r="A72" s="12" t="s">
        <v>50</v>
      </c>
      <c r="B72" s="118">
        <v>1.013587392E9</v>
      </c>
      <c r="C72" s="12" t="s">
        <v>457</v>
      </c>
      <c r="D72" s="47">
        <v>37799.0</v>
      </c>
      <c r="E72" s="12">
        <v>3.005926005E9</v>
      </c>
      <c r="F72" s="36" t="s">
        <v>458</v>
      </c>
      <c r="G72" s="12" t="s">
        <v>459</v>
      </c>
      <c r="H72" s="73">
        <f t="shared" si="11"/>
        <v>23</v>
      </c>
      <c r="I72" s="12" t="s">
        <v>25</v>
      </c>
      <c r="J72" s="7" t="s">
        <v>26</v>
      </c>
      <c r="K72" s="7" t="s">
        <v>89</v>
      </c>
      <c r="L72" s="7" t="s">
        <v>28</v>
      </c>
      <c r="M72" s="12" t="s">
        <v>61</v>
      </c>
      <c r="N72" s="12" t="s">
        <v>62</v>
      </c>
      <c r="O72" s="91">
        <v>45201.0</v>
      </c>
      <c r="P72" s="92">
        <f t="shared" ref="P72:P75" si="20">O72+90</f>
        <v>45291</v>
      </c>
      <c r="Q72" s="13">
        <v>45301.0</v>
      </c>
      <c r="R72" s="14" t="s">
        <v>31</v>
      </c>
      <c r="S72" s="15">
        <v>1160000.0</v>
      </c>
      <c r="T72" s="15">
        <v>580000.0</v>
      </c>
      <c r="U72" s="14" t="s">
        <v>31</v>
      </c>
    </row>
    <row r="73" ht="15.75" hidden="1" customHeight="1">
      <c r="A73" s="12" t="s">
        <v>50</v>
      </c>
      <c r="B73" s="118">
        <v>1.013587392E9</v>
      </c>
      <c r="C73" s="12" t="s">
        <v>457</v>
      </c>
      <c r="D73" s="47">
        <v>37799.0</v>
      </c>
      <c r="E73" s="12">
        <v>3.005926005E9</v>
      </c>
      <c r="F73" s="36" t="s">
        <v>460</v>
      </c>
      <c r="G73" s="12" t="s">
        <v>461</v>
      </c>
      <c r="H73" s="7">
        <f t="shared" si="11"/>
        <v>23</v>
      </c>
      <c r="I73" s="12" t="s">
        <v>25</v>
      </c>
      <c r="J73" s="7" t="s">
        <v>26</v>
      </c>
      <c r="K73" s="7" t="s">
        <v>89</v>
      </c>
      <c r="L73" s="7" t="s">
        <v>28</v>
      </c>
      <c r="M73" s="12" t="s">
        <v>61</v>
      </c>
      <c r="N73" s="12" t="s">
        <v>62</v>
      </c>
      <c r="O73" s="91">
        <v>45317.0</v>
      </c>
      <c r="P73" s="92">
        <f t="shared" si="20"/>
        <v>45407</v>
      </c>
      <c r="Q73" s="13">
        <v>45351.0</v>
      </c>
      <c r="R73" s="14" t="s">
        <v>31</v>
      </c>
      <c r="S73" s="15">
        <v>1300000.0</v>
      </c>
      <c r="T73" s="15">
        <v>650000.0</v>
      </c>
      <c r="U73" s="14" t="s">
        <v>31</v>
      </c>
    </row>
    <row r="74" ht="15.75" hidden="1" customHeight="1">
      <c r="A74" s="12" t="s">
        <v>50</v>
      </c>
      <c r="B74" s="118">
        <v>1.010761055E9</v>
      </c>
      <c r="C74" s="12" t="s">
        <v>462</v>
      </c>
      <c r="D74" s="47">
        <v>38397.0</v>
      </c>
      <c r="E74" s="12">
        <v>3.132533122E9</v>
      </c>
      <c r="F74" s="36" t="s">
        <v>463</v>
      </c>
      <c r="G74" s="12" t="s">
        <v>464</v>
      </c>
      <c r="H74" s="73">
        <f t="shared" si="11"/>
        <v>21</v>
      </c>
      <c r="I74" s="12" t="s">
        <v>25</v>
      </c>
      <c r="J74" s="7" t="s">
        <v>26</v>
      </c>
      <c r="K74" s="7" t="s">
        <v>89</v>
      </c>
      <c r="L74" s="7" t="s">
        <v>28</v>
      </c>
      <c r="M74" s="12" t="s">
        <v>61</v>
      </c>
      <c r="N74" s="12" t="s">
        <v>62</v>
      </c>
      <c r="O74" s="91">
        <v>44959.0</v>
      </c>
      <c r="P74" s="92">
        <f t="shared" si="20"/>
        <v>45049</v>
      </c>
      <c r="Q74" s="13">
        <v>45268.0</v>
      </c>
      <c r="R74" s="14" t="s">
        <v>31</v>
      </c>
      <c r="S74" s="15">
        <v>1160000.0</v>
      </c>
      <c r="T74" s="15">
        <v>580000.0</v>
      </c>
      <c r="U74" s="14" t="s">
        <v>31</v>
      </c>
    </row>
    <row r="75" ht="15.75" hidden="1" customHeight="1">
      <c r="A75" s="12" t="s">
        <v>50</v>
      </c>
      <c r="B75" s="125">
        <v>1.113639484E9</v>
      </c>
      <c r="C75" s="126" t="s">
        <v>465</v>
      </c>
      <c r="D75" s="47">
        <v>32611.0</v>
      </c>
      <c r="E75" s="127">
        <v>3.157209554E9</v>
      </c>
      <c r="F75" s="184" t="s">
        <v>466</v>
      </c>
      <c r="G75" s="127" t="s">
        <v>467</v>
      </c>
      <c r="H75" s="73">
        <f t="shared" si="11"/>
        <v>37</v>
      </c>
      <c r="I75" s="12" t="s">
        <v>67</v>
      </c>
      <c r="J75" s="7" t="s">
        <v>26</v>
      </c>
      <c r="K75" s="7" t="s">
        <v>89</v>
      </c>
      <c r="L75" s="7" t="s">
        <v>28</v>
      </c>
      <c r="M75" s="12" t="s">
        <v>61</v>
      </c>
      <c r="N75" s="12" t="s">
        <v>62</v>
      </c>
      <c r="O75" s="91">
        <v>44985.0</v>
      </c>
      <c r="P75" s="92">
        <f t="shared" si="20"/>
        <v>45075</v>
      </c>
      <c r="Q75" s="13">
        <v>45351.0</v>
      </c>
      <c r="R75" s="14" t="s">
        <v>31</v>
      </c>
      <c r="S75" s="15" t="s">
        <v>63</v>
      </c>
      <c r="T75" s="15" t="s">
        <v>63</v>
      </c>
      <c r="U75" s="14" t="s">
        <v>31</v>
      </c>
    </row>
    <row r="76" ht="15.75" hidden="1" customHeight="1">
      <c r="A76" s="49" t="s">
        <v>50</v>
      </c>
      <c r="B76" s="49">
        <v>1.140914587E9</v>
      </c>
      <c r="C76" s="49" t="s">
        <v>468</v>
      </c>
      <c r="D76" s="185">
        <v>37648.0</v>
      </c>
      <c r="E76" s="148">
        <v>3.203803692E9</v>
      </c>
      <c r="F76" s="117" t="s">
        <v>469</v>
      </c>
      <c r="G76" s="149" t="s">
        <v>470</v>
      </c>
      <c r="H76" s="7">
        <f t="shared" si="11"/>
        <v>23</v>
      </c>
      <c r="I76" s="12" t="s">
        <v>67</v>
      </c>
      <c r="J76" s="7" t="s">
        <v>26</v>
      </c>
      <c r="K76" s="7" t="s">
        <v>89</v>
      </c>
      <c r="L76" s="7" t="s">
        <v>73</v>
      </c>
      <c r="M76" s="12" t="s">
        <v>61</v>
      </c>
      <c r="N76" s="12" t="s">
        <v>62</v>
      </c>
      <c r="O76" s="186">
        <v>45965.0</v>
      </c>
      <c r="P76" s="187">
        <v>45736.0</v>
      </c>
      <c r="Q76" s="13">
        <v>45147.0</v>
      </c>
      <c r="R76" s="14" t="s">
        <v>31</v>
      </c>
      <c r="S76" s="145">
        <v>1623500.0</v>
      </c>
      <c r="T76" s="145">
        <v>811750.0</v>
      </c>
      <c r="U76" s="14" t="s">
        <v>31</v>
      </c>
    </row>
    <row r="77" ht="15.75" hidden="1" customHeight="1">
      <c r="A77" s="42" t="s">
        <v>50</v>
      </c>
      <c r="B77" s="129">
        <v>1.03180366E9</v>
      </c>
      <c r="C77" s="49" t="s">
        <v>471</v>
      </c>
      <c r="D77" s="130">
        <v>38411.0</v>
      </c>
      <c r="E77" s="25">
        <v>3.156762614E9</v>
      </c>
      <c r="F77" s="121" t="s">
        <v>472</v>
      </c>
      <c r="G77" s="121" t="s">
        <v>473</v>
      </c>
      <c r="H77" s="7">
        <f t="shared" si="11"/>
        <v>21</v>
      </c>
      <c r="I77" s="12" t="s">
        <v>25</v>
      </c>
      <c r="J77" s="11" t="s">
        <v>362</v>
      </c>
      <c r="K77" s="11" t="s">
        <v>36</v>
      </c>
      <c r="L77" s="11" t="s">
        <v>28</v>
      </c>
      <c r="M77" s="12" t="s">
        <v>61</v>
      </c>
      <c r="N77" s="12" t="s">
        <v>62</v>
      </c>
      <c r="O77" s="131">
        <v>45618.0</v>
      </c>
      <c r="P77" s="21">
        <f>O77+60</f>
        <v>45678</v>
      </c>
      <c r="Q77" s="22">
        <v>45994.0</v>
      </c>
      <c r="R77" s="14" t="s">
        <v>31</v>
      </c>
      <c r="S77" s="145">
        <v>1423500.0</v>
      </c>
      <c r="T77" s="145">
        <v>711750.0</v>
      </c>
      <c r="U77" s="14" t="s">
        <v>31</v>
      </c>
    </row>
    <row r="78" ht="15.75" hidden="1" customHeight="1">
      <c r="A78" s="49" t="s">
        <v>50</v>
      </c>
      <c r="B78" s="129">
        <v>1.000133684E9</v>
      </c>
      <c r="C78" s="49" t="s">
        <v>474</v>
      </c>
      <c r="D78" s="166">
        <v>37861.0</v>
      </c>
      <c r="E78" s="49">
        <v>3.104706231E9</v>
      </c>
      <c r="F78" s="49" t="s">
        <v>475</v>
      </c>
      <c r="G78" s="49" t="s">
        <v>476</v>
      </c>
      <c r="H78" s="7">
        <f t="shared" si="11"/>
        <v>23</v>
      </c>
      <c r="I78" s="12" t="s">
        <v>67</v>
      </c>
      <c r="J78" s="7" t="s">
        <v>26</v>
      </c>
      <c r="K78" s="7" t="s">
        <v>89</v>
      </c>
      <c r="L78" s="7" t="s">
        <v>48</v>
      </c>
      <c r="M78" s="12" t="s">
        <v>61</v>
      </c>
      <c r="N78" s="12" t="s">
        <v>62</v>
      </c>
      <c r="O78" s="46">
        <v>45870.0</v>
      </c>
      <c r="P78" s="17">
        <f>O78+60</f>
        <v>45930</v>
      </c>
      <c r="Q78" s="22">
        <v>45940.0</v>
      </c>
      <c r="R78" s="24" t="s">
        <v>31</v>
      </c>
      <c r="S78" s="100">
        <v>1623500.0</v>
      </c>
      <c r="T78" s="100">
        <v>811750.0</v>
      </c>
      <c r="U78" s="36" t="s">
        <v>477</v>
      </c>
    </row>
    <row r="79" ht="15.75" hidden="1" customHeight="1">
      <c r="A79" s="12" t="s">
        <v>21</v>
      </c>
      <c r="B79" s="118">
        <v>4993871.0</v>
      </c>
      <c r="C79" s="42" t="s">
        <v>478</v>
      </c>
      <c r="D79" s="47">
        <v>38256.0</v>
      </c>
      <c r="E79" s="12">
        <v>3.042046565E9</v>
      </c>
      <c r="F79" s="36" t="s">
        <v>479</v>
      </c>
      <c r="G79" s="12" t="s">
        <v>480</v>
      </c>
      <c r="H79" s="7">
        <f t="shared" si="11"/>
        <v>22</v>
      </c>
      <c r="I79" s="12" t="s">
        <v>25</v>
      </c>
      <c r="J79" s="7" t="s">
        <v>26</v>
      </c>
      <c r="K79" s="7" t="s">
        <v>89</v>
      </c>
      <c r="L79" s="7" t="s">
        <v>48</v>
      </c>
      <c r="M79" s="12" t="s">
        <v>61</v>
      </c>
      <c r="N79" s="12" t="s">
        <v>62</v>
      </c>
      <c r="O79" s="91">
        <v>45488.0</v>
      </c>
      <c r="P79" s="92">
        <f t="shared" ref="P79:P80" si="21">O79+60</f>
        <v>45548</v>
      </c>
      <c r="Q79" s="48">
        <v>45901.0</v>
      </c>
      <c r="R79" s="14" t="s">
        <v>31</v>
      </c>
      <c r="S79" s="15">
        <v>1300000.0</v>
      </c>
      <c r="T79" s="15">
        <v>650000.0</v>
      </c>
      <c r="U79" s="14" t="s">
        <v>31</v>
      </c>
    </row>
    <row r="80" ht="15.75" hidden="1" customHeight="1">
      <c r="A80" s="121" t="s">
        <v>50</v>
      </c>
      <c r="B80" s="120">
        <v>1.030711176E9</v>
      </c>
      <c r="C80" s="121" t="s">
        <v>481</v>
      </c>
      <c r="D80" s="185">
        <v>34979.0</v>
      </c>
      <c r="E80" s="121">
        <v>3.028486707E9</v>
      </c>
      <c r="F80" s="121" t="s">
        <v>482</v>
      </c>
      <c r="G80" s="121" t="s">
        <v>483</v>
      </c>
      <c r="H80" s="7">
        <f t="shared" si="11"/>
        <v>31</v>
      </c>
      <c r="I80" s="12" t="s">
        <v>25</v>
      </c>
      <c r="J80" s="150" t="s">
        <v>26</v>
      </c>
      <c r="K80" s="7" t="s">
        <v>89</v>
      </c>
      <c r="L80" s="11" t="s">
        <v>73</v>
      </c>
      <c r="M80" s="12" t="s">
        <v>61</v>
      </c>
      <c r="N80" s="12" t="s">
        <v>62</v>
      </c>
      <c r="O80" s="135">
        <v>45691.0</v>
      </c>
      <c r="P80" s="21">
        <f t="shared" si="21"/>
        <v>45751</v>
      </c>
      <c r="Q80" s="11" t="s">
        <v>484</v>
      </c>
      <c r="R80" s="24" t="s">
        <v>31</v>
      </c>
      <c r="S80" s="145">
        <v>1423500.0</v>
      </c>
      <c r="T80" s="145">
        <v>711750.0</v>
      </c>
      <c r="U80" s="24" t="s">
        <v>31</v>
      </c>
    </row>
    <row r="81" ht="15.75" hidden="1" customHeight="1">
      <c r="A81" s="12" t="s">
        <v>50</v>
      </c>
      <c r="B81" s="118">
        <v>1.127669966E9</v>
      </c>
      <c r="C81" s="42" t="s">
        <v>485</v>
      </c>
      <c r="D81" s="47">
        <v>36122.0</v>
      </c>
      <c r="E81" s="12">
        <v>3.138092274E9</v>
      </c>
      <c r="F81" s="36" t="s">
        <v>486</v>
      </c>
      <c r="G81" s="12" t="s">
        <v>487</v>
      </c>
      <c r="H81" s="7">
        <f t="shared" si="11"/>
        <v>28</v>
      </c>
      <c r="I81" s="12" t="s">
        <v>67</v>
      </c>
      <c r="J81" s="7" t="s">
        <v>362</v>
      </c>
      <c r="K81" s="7" t="s">
        <v>27</v>
      </c>
      <c r="L81" s="7" t="s">
        <v>48</v>
      </c>
      <c r="M81" s="12" t="s">
        <v>61</v>
      </c>
      <c r="N81" s="12" t="s">
        <v>62</v>
      </c>
      <c r="O81" s="91">
        <v>45276.0</v>
      </c>
      <c r="P81" s="92">
        <f t="shared" ref="P81:P82" si="22">O81+90</f>
        <v>45366</v>
      </c>
      <c r="Q81" s="48">
        <v>45485.0</v>
      </c>
      <c r="R81" s="14" t="s">
        <v>31</v>
      </c>
      <c r="S81" s="145">
        <v>1300000.0</v>
      </c>
      <c r="T81" s="145">
        <v>650000.0</v>
      </c>
      <c r="U81" s="14" t="s">
        <v>31</v>
      </c>
    </row>
    <row r="82" ht="15.75" hidden="1" customHeight="1">
      <c r="A82" s="12" t="s">
        <v>50</v>
      </c>
      <c r="B82" s="118">
        <v>1.012316202E9</v>
      </c>
      <c r="C82" s="12" t="s">
        <v>488</v>
      </c>
      <c r="D82" s="47">
        <v>37914.0</v>
      </c>
      <c r="E82" s="12">
        <v>3.135452018E9</v>
      </c>
      <c r="F82" s="36" t="s">
        <v>489</v>
      </c>
      <c r="G82" s="12" t="s">
        <v>490</v>
      </c>
      <c r="H82" s="7">
        <f t="shared" si="11"/>
        <v>23</v>
      </c>
      <c r="I82" s="12" t="s">
        <v>67</v>
      </c>
      <c r="J82" s="7" t="s">
        <v>362</v>
      </c>
      <c r="K82" s="7" t="s">
        <v>27</v>
      </c>
      <c r="L82" s="7" t="s">
        <v>28</v>
      </c>
      <c r="M82" s="12" t="s">
        <v>61</v>
      </c>
      <c r="N82" s="12" t="s">
        <v>62</v>
      </c>
      <c r="O82" s="91">
        <v>45201.0</v>
      </c>
      <c r="P82" s="92">
        <f t="shared" si="22"/>
        <v>45291</v>
      </c>
      <c r="Q82" s="13">
        <v>45355.0</v>
      </c>
      <c r="R82" s="14" t="s">
        <v>31</v>
      </c>
      <c r="S82" s="15" t="s">
        <v>63</v>
      </c>
      <c r="T82" s="15" t="s">
        <v>63</v>
      </c>
      <c r="U82" s="14" t="s">
        <v>31</v>
      </c>
    </row>
    <row r="83" ht="15.75" hidden="1" customHeight="1">
      <c r="A83" s="101" t="s">
        <v>50</v>
      </c>
      <c r="B83" s="188">
        <v>1.012316202E9</v>
      </c>
      <c r="C83" s="62" t="s">
        <v>488</v>
      </c>
      <c r="D83" s="103">
        <v>37914.0</v>
      </c>
      <c r="E83" s="62">
        <v>3.135452018E9</v>
      </c>
      <c r="F83" s="102" t="s">
        <v>489</v>
      </c>
      <c r="G83" s="62" t="s">
        <v>490</v>
      </c>
      <c r="H83" s="79">
        <f t="shared" si="11"/>
        <v>23</v>
      </c>
      <c r="I83" s="12" t="s">
        <v>67</v>
      </c>
      <c r="J83" s="7" t="s">
        <v>26</v>
      </c>
      <c r="K83" s="60" t="s">
        <v>89</v>
      </c>
      <c r="L83" s="7" t="s">
        <v>28</v>
      </c>
      <c r="M83" s="42" t="s">
        <v>61</v>
      </c>
      <c r="N83" s="42" t="s">
        <v>62</v>
      </c>
      <c r="O83" s="104">
        <v>45383.0</v>
      </c>
      <c r="P83" s="105">
        <f>O83+60</f>
        <v>45443</v>
      </c>
      <c r="Q83" s="13">
        <v>45422.0</v>
      </c>
      <c r="R83" s="14" t="s">
        <v>31</v>
      </c>
      <c r="S83" s="106" t="s">
        <v>63</v>
      </c>
      <c r="T83" s="106" t="s">
        <v>63</v>
      </c>
      <c r="U83" s="14" t="s">
        <v>31</v>
      </c>
    </row>
    <row r="84" ht="15.75" hidden="1" customHeight="1">
      <c r="A84" s="12" t="s">
        <v>21</v>
      </c>
      <c r="B84" s="118">
        <v>5121189.0</v>
      </c>
      <c r="C84" s="12" t="s">
        <v>168</v>
      </c>
      <c r="D84" s="47">
        <v>30987.0</v>
      </c>
      <c r="E84" s="12">
        <v>3.227740011E9</v>
      </c>
      <c r="F84" s="36" t="s">
        <v>169</v>
      </c>
      <c r="G84" s="36" t="s">
        <v>491</v>
      </c>
      <c r="H84" s="95">
        <f t="shared" si="11"/>
        <v>42</v>
      </c>
      <c r="I84" s="12" t="s">
        <v>25</v>
      </c>
      <c r="J84" s="7" t="s">
        <v>26</v>
      </c>
      <c r="K84" s="7" t="s">
        <v>89</v>
      </c>
      <c r="L84" s="7" t="s">
        <v>73</v>
      </c>
      <c r="M84" s="12" t="s">
        <v>61</v>
      </c>
      <c r="N84" s="12" t="s">
        <v>62</v>
      </c>
      <c r="O84" s="91">
        <v>45223.0</v>
      </c>
      <c r="P84" s="92">
        <f>O84+90</f>
        <v>45313</v>
      </c>
      <c r="Q84" s="13">
        <v>45351.0</v>
      </c>
      <c r="R84" s="14" t="s">
        <v>31</v>
      </c>
      <c r="S84" s="15">
        <v>1300000.0</v>
      </c>
      <c r="T84" s="15">
        <v>650000.0</v>
      </c>
      <c r="U84" s="14" t="s">
        <v>31</v>
      </c>
    </row>
    <row r="85" ht="15.75" hidden="1" customHeight="1">
      <c r="A85" s="12" t="s">
        <v>21</v>
      </c>
      <c r="B85" s="118">
        <v>5121189.0</v>
      </c>
      <c r="C85" s="42" t="s">
        <v>168</v>
      </c>
      <c r="D85" s="47">
        <v>30987.0</v>
      </c>
      <c r="E85" s="12">
        <v>3.227740011E9</v>
      </c>
      <c r="F85" s="36" t="s">
        <v>169</v>
      </c>
      <c r="G85" s="36" t="s">
        <v>491</v>
      </c>
      <c r="H85" s="95">
        <f t="shared" si="11"/>
        <v>42</v>
      </c>
      <c r="I85" s="12" t="s">
        <v>25</v>
      </c>
      <c r="J85" s="7" t="s">
        <v>26</v>
      </c>
      <c r="K85" s="7" t="s">
        <v>89</v>
      </c>
      <c r="L85" s="7" t="s">
        <v>73</v>
      </c>
      <c r="M85" s="12" t="s">
        <v>61</v>
      </c>
      <c r="N85" s="12" t="s">
        <v>62</v>
      </c>
      <c r="O85" s="91">
        <v>45367.0</v>
      </c>
      <c r="P85" s="92">
        <f t="shared" ref="P85:P86" si="23">O85+60</f>
        <v>45427</v>
      </c>
      <c r="Q85" s="11" t="s">
        <v>44</v>
      </c>
      <c r="R85" s="14" t="s">
        <v>31</v>
      </c>
      <c r="S85" s="18" t="s">
        <v>63</v>
      </c>
      <c r="T85" s="18" t="s">
        <v>63</v>
      </c>
      <c r="U85" s="14" t="s">
        <v>31</v>
      </c>
      <c r="V85" s="84"/>
    </row>
    <row r="86" ht="15.75" hidden="1" customHeight="1">
      <c r="A86" s="36" t="s">
        <v>21</v>
      </c>
      <c r="B86" s="151">
        <v>5384670.0</v>
      </c>
      <c r="C86" s="49" t="s">
        <v>171</v>
      </c>
      <c r="D86" s="135">
        <v>33642.0</v>
      </c>
      <c r="E86" s="36">
        <v>3.105109536E9</v>
      </c>
      <c r="F86" s="36" t="s">
        <v>492</v>
      </c>
      <c r="G86" s="36" t="s">
        <v>493</v>
      </c>
      <c r="H86" s="7">
        <f t="shared" si="11"/>
        <v>34</v>
      </c>
      <c r="I86" s="12" t="s">
        <v>25</v>
      </c>
      <c r="J86" s="7" t="s">
        <v>26</v>
      </c>
      <c r="K86" s="7" t="s">
        <v>89</v>
      </c>
      <c r="L86" s="7" t="s">
        <v>73</v>
      </c>
      <c r="M86" s="12" t="s">
        <v>61</v>
      </c>
      <c r="N86" s="12" t="s">
        <v>62</v>
      </c>
      <c r="O86" s="136">
        <v>45520.0</v>
      </c>
      <c r="P86" s="92">
        <f t="shared" si="23"/>
        <v>45580</v>
      </c>
      <c r="Q86" s="36" t="s">
        <v>347</v>
      </c>
      <c r="R86" s="14" t="s">
        <v>31</v>
      </c>
      <c r="S86" s="15" t="s">
        <v>63</v>
      </c>
      <c r="T86" s="15" t="s">
        <v>63</v>
      </c>
      <c r="U86" s="14" t="s">
        <v>31</v>
      </c>
      <c r="V86" s="84"/>
    </row>
    <row r="87" ht="15.75" hidden="1" customHeight="1">
      <c r="A87" s="25" t="s">
        <v>50</v>
      </c>
      <c r="B87" s="157">
        <v>1.016944127E9</v>
      </c>
      <c r="C87" s="25" t="s">
        <v>494</v>
      </c>
      <c r="D87" s="119">
        <v>38162.0</v>
      </c>
      <c r="E87" s="25">
        <v>3.003611046E9</v>
      </c>
      <c r="F87" s="121" t="s">
        <v>495</v>
      </c>
      <c r="G87" s="25" t="s">
        <v>496</v>
      </c>
      <c r="H87" s="7">
        <f t="shared" si="11"/>
        <v>22</v>
      </c>
      <c r="I87" s="12" t="s">
        <v>25</v>
      </c>
      <c r="J87" s="7" t="s">
        <v>26</v>
      </c>
      <c r="K87" s="60" t="s">
        <v>89</v>
      </c>
      <c r="L87" s="7" t="s">
        <v>28</v>
      </c>
      <c r="M87" s="12" t="s">
        <v>61</v>
      </c>
      <c r="N87" s="12" t="s">
        <v>62</v>
      </c>
      <c r="O87" s="91">
        <v>45092.0</v>
      </c>
      <c r="P87" s="92">
        <f t="shared" ref="P87:P89" si="24">O87+90</f>
        <v>45182</v>
      </c>
      <c r="Q87" s="13">
        <v>45146.0</v>
      </c>
      <c r="R87" s="14" t="s">
        <v>31</v>
      </c>
      <c r="S87" s="15">
        <v>1160000.0</v>
      </c>
      <c r="T87" s="15">
        <v>580000.0</v>
      </c>
      <c r="U87" s="14" t="s">
        <v>31</v>
      </c>
    </row>
    <row r="88" ht="15.75" hidden="1" customHeight="1">
      <c r="A88" s="7" t="s">
        <v>21</v>
      </c>
      <c r="B88" s="70">
        <v>4959233.0</v>
      </c>
      <c r="C88" s="7" t="s">
        <v>497</v>
      </c>
      <c r="D88" s="189">
        <v>38154.0</v>
      </c>
      <c r="E88" s="7">
        <v>3.157526708E9</v>
      </c>
      <c r="F88" s="11" t="s">
        <v>498</v>
      </c>
      <c r="G88" s="7" t="s">
        <v>499</v>
      </c>
      <c r="H88" s="7">
        <f t="shared" si="11"/>
        <v>22</v>
      </c>
      <c r="I88" s="12" t="s">
        <v>67</v>
      </c>
      <c r="J88" s="7" t="s">
        <v>26</v>
      </c>
      <c r="K88" s="60" t="s">
        <v>89</v>
      </c>
      <c r="L88" s="7" t="s">
        <v>48</v>
      </c>
      <c r="M88" s="12" t="s">
        <v>61</v>
      </c>
      <c r="N88" s="12" t="s">
        <v>62</v>
      </c>
      <c r="O88" s="190">
        <v>44858.0</v>
      </c>
      <c r="P88" s="92">
        <f t="shared" si="24"/>
        <v>44948</v>
      </c>
      <c r="Q88" s="13">
        <v>45366.0</v>
      </c>
      <c r="R88" s="14" t="s">
        <v>31</v>
      </c>
      <c r="S88" s="15" t="s">
        <v>63</v>
      </c>
      <c r="T88" s="54" t="s">
        <v>63</v>
      </c>
      <c r="U88" s="14" t="s">
        <v>31</v>
      </c>
    </row>
    <row r="89" ht="15.75" hidden="1" customHeight="1">
      <c r="A89" s="36" t="s">
        <v>115</v>
      </c>
      <c r="B89" s="118">
        <v>2.4485184E7</v>
      </c>
      <c r="C89" s="7" t="s">
        <v>500</v>
      </c>
      <c r="D89" s="47">
        <v>34312.0</v>
      </c>
      <c r="E89" s="191">
        <v>3.182627884E9</v>
      </c>
      <c r="F89" s="36" t="s">
        <v>139</v>
      </c>
      <c r="G89" s="12" t="s">
        <v>140</v>
      </c>
      <c r="H89" s="7">
        <f t="shared" si="11"/>
        <v>33</v>
      </c>
      <c r="I89" s="12" t="s">
        <v>67</v>
      </c>
      <c r="J89" s="7" t="s">
        <v>26</v>
      </c>
      <c r="K89" s="7" t="s">
        <v>89</v>
      </c>
      <c r="L89" s="7" t="s">
        <v>48</v>
      </c>
      <c r="M89" s="12" t="s">
        <v>61</v>
      </c>
      <c r="N89" s="12" t="s">
        <v>62</v>
      </c>
      <c r="O89" s="91">
        <v>44958.0</v>
      </c>
      <c r="P89" s="92">
        <f t="shared" si="24"/>
        <v>45048</v>
      </c>
      <c r="Q89" s="13">
        <v>45275.0</v>
      </c>
      <c r="R89" s="14" t="s">
        <v>31</v>
      </c>
      <c r="S89" s="15" t="s">
        <v>63</v>
      </c>
      <c r="T89" s="15" t="s">
        <v>63</v>
      </c>
      <c r="U89" s="14" t="s">
        <v>31</v>
      </c>
    </row>
    <row r="90" ht="15.75" customHeight="1">
      <c r="A90" s="42" t="s">
        <v>21</v>
      </c>
      <c r="B90" s="129">
        <v>1094111.0</v>
      </c>
      <c r="C90" s="42" t="s">
        <v>501</v>
      </c>
      <c r="D90" s="133">
        <v>37161.0</v>
      </c>
      <c r="E90" s="42">
        <v>3.219472224E9</v>
      </c>
      <c r="F90" s="49" t="s">
        <v>502</v>
      </c>
      <c r="G90" s="49" t="s">
        <v>503</v>
      </c>
      <c r="H90" s="7">
        <f t="shared" si="11"/>
        <v>25</v>
      </c>
      <c r="I90" s="12" t="s">
        <v>67</v>
      </c>
      <c r="J90" s="7" t="s">
        <v>26</v>
      </c>
      <c r="K90" s="7" t="s">
        <v>89</v>
      </c>
      <c r="L90" s="7" t="s">
        <v>48</v>
      </c>
      <c r="M90" s="12" t="s">
        <v>61</v>
      </c>
      <c r="N90" s="12" t="s">
        <v>62</v>
      </c>
      <c r="O90" s="37">
        <v>45385.0</v>
      </c>
      <c r="P90" s="17">
        <f>O90+60</f>
        <v>45445</v>
      </c>
      <c r="Q90" s="7"/>
      <c r="R90" s="12" t="s">
        <v>39</v>
      </c>
      <c r="S90" s="18" t="s">
        <v>63</v>
      </c>
      <c r="T90" s="18" t="s">
        <v>63</v>
      </c>
      <c r="U90" s="36" t="s">
        <v>504</v>
      </c>
    </row>
    <row r="91" ht="15.75" hidden="1" customHeight="1">
      <c r="A91" s="12" t="s">
        <v>21</v>
      </c>
      <c r="B91" s="118">
        <v>5620176.0</v>
      </c>
      <c r="C91" s="42" t="s">
        <v>505</v>
      </c>
      <c r="D91" s="156">
        <v>34671.0</v>
      </c>
      <c r="E91" s="12">
        <v>3.182627884E9</v>
      </c>
      <c r="F91" s="36" t="s">
        <v>139</v>
      </c>
      <c r="G91" s="12" t="s">
        <v>140</v>
      </c>
      <c r="H91" s="7">
        <f t="shared" si="11"/>
        <v>32</v>
      </c>
      <c r="I91" s="12" t="s">
        <v>67</v>
      </c>
      <c r="J91" s="7" t="s">
        <v>26</v>
      </c>
      <c r="K91" s="7" t="s">
        <v>89</v>
      </c>
      <c r="L91" s="7" t="s">
        <v>73</v>
      </c>
      <c r="M91" s="12" t="s">
        <v>61</v>
      </c>
      <c r="N91" s="12" t="s">
        <v>62</v>
      </c>
      <c r="O91" s="91">
        <v>44958.0</v>
      </c>
      <c r="P91" s="92">
        <f t="shared" ref="P91:P92" si="25">O91+90</f>
        <v>45048</v>
      </c>
      <c r="Q91" s="33">
        <v>45037.0</v>
      </c>
      <c r="R91" s="14" t="s">
        <v>31</v>
      </c>
      <c r="S91" s="15">
        <v>1160000.0</v>
      </c>
      <c r="T91" s="15">
        <v>580000.0</v>
      </c>
      <c r="U91" s="14" t="s">
        <v>31</v>
      </c>
    </row>
    <row r="92" ht="15.75" hidden="1" customHeight="1">
      <c r="A92" s="7" t="s">
        <v>50</v>
      </c>
      <c r="B92" s="8">
        <v>1.007558026E9</v>
      </c>
      <c r="C92" s="7" t="s">
        <v>506</v>
      </c>
      <c r="D92" s="21">
        <v>37537.0</v>
      </c>
      <c r="E92" s="7">
        <v>3.142281333E9</v>
      </c>
      <c r="F92" s="11" t="s">
        <v>507</v>
      </c>
      <c r="G92" s="7" t="s">
        <v>508</v>
      </c>
      <c r="H92" s="7">
        <f t="shared" si="11"/>
        <v>24</v>
      </c>
      <c r="I92" s="12" t="s">
        <v>67</v>
      </c>
      <c r="J92" s="7" t="s">
        <v>26</v>
      </c>
      <c r="K92" s="7" t="s">
        <v>27</v>
      </c>
      <c r="L92" s="7" t="s">
        <v>28</v>
      </c>
      <c r="M92" s="12" t="s">
        <v>61</v>
      </c>
      <c r="N92" s="12" t="s">
        <v>62</v>
      </c>
      <c r="O92" s="10">
        <v>44835.0</v>
      </c>
      <c r="P92" s="92">
        <f t="shared" si="25"/>
        <v>44925</v>
      </c>
      <c r="Q92" s="13">
        <v>45047.0</v>
      </c>
      <c r="R92" s="14" t="s">
        <v>31</v>
      </c>
      <c r="S92" s="15" t="s">
        <v>63</v>
      </c>
      <c r="T92" s="15" t="s">
        <v>63</v>
      </c>
      <c r="U92" s="14" t="s">
        <v>31</v>
      </c>
    </row>
    <row r="93" ht="15.75" customHeight="1">
      <c r="A93" s="192" t="s">
        <v>21</v>
      </c>
      <c r="B93" s="193">
        <v>4319168.0</v>
      </c>
      <c r="C93" s="194" t="s">
        <v>509</v>
      </c>
      <c r="D93" s="195">
        <v>27894.0</v>
      </c>
      <c r="E93" s="194">
        <v>3.107574155E9</v>
      </c>
      <c r="F93" s="196" t="s">
        <v>510</v>
      </c>
      <c r="G93" s="194" t="s">
        <v>511</v>
      </c>
      <c r="H93" s="60">
        <f t="shared" si="11"/>
        <v>50</v>
      </c>
      <c r="I93" s="12" t="s">
        <v>67</v>
      </c>
      <c r="J93" s="7" t="s">
        <v>35</v>
      </c>
      <c r="K93" s="61" t="s">
        <v>36</v>
      </c>
      <c r="L93" s="7" t="s">
        <v>48</v>
      </c>
      <c r="M93" s="12" t="s">
        <v>61</v>
      </c>
      <c r="N93" s="12" t="s">
        <v>62</v>
      </c>
      <c r="O93" s="197">
        <v>45108.0</v>
      </c>
      <c r="P93" s="17">
        <f>O93+60</f>
        <v>45168</v>
      </c>
      <c r="Q93" s="7"/>
      <c r="R93" s="12" t="s">
        <v>39</v>
      </c>
      <c r="S93" s="15" t="s">
        <v>63</v>
      </c>
      <c r="T93" s="15" t="s">
        <v>63</v>
      </c>
      <c r="U93" s="36" t="s">
        <v>504</v>
      </c>
    </row>
    <row r="94" ht="15.75" hidden="1" customHeight="1">
      <c r="A94" s="12" t="s">
        <v>50</v>
      </c>
      <c r="B94" s="188">
        <v>1.03267882E9</v>
      </c>
      <c r="C94" s="62" t="s">
        <v>512</v>
      </c>
      <c r="D94" s="103">
        <v>38837.0</v>
      </c>
      <c r="E94" s="62">
        <v>3.124982857E9</v>
      </c>
      <c r="F94" s="102" t="s">
        <v>513</v>
      </c>
      <c r="G94" s="62" t="s">
        <v>514</v>
      </c>
      <c r="H94" s="7">
        <f t="shared" si="11"/>
        <v>20</v>
      </c>
      <c r="I94" s="12" t="s">
        <v>25</v>
      </c>
      <c r="J94" s="7" t="s">
        <v>26</v>
      </c>
      <c r="K94" s="60" t="s">
        <v>89</v>
      </c>
      <c r="L94" s="7" t="s">
        <v>28</v>
      </c>
      <c r="M94" s="12" t="s">
        <v>61</v>
      </c>
      <c r="N94" s="12" t="s">
        <v>62</v>
      </c>
      <c r="O94" s="104">
        <v>45238.0</v>
      </c>
      <c r="P94" s="92">
        <f t="shared" ref="P94:P96" si="26">O94+90</f>
        <v>45328</v>
      </c>
      <c r="Q94" s="13">
        <v>45270.0</v>
      </c>
      <c r="R94" s="14" t="s">
        <v>31</v>
      </c>
      <c r="S94" s="15">
        <v>1160000.0</v>
      </c>
      <c r="T94" s="15">
        <v>580000.0</v>
      </c>
      <c r="U94" s="14" t="s">
        <v>31</v>
      </c>
    </row>
    <row r="95" ht="15.75" hidden="1" customHeight="1">
      <c r="A95" s="12" t="s">
        <v>50</v>
      </c>
      <c r="B95" s="8">
        <v>1.115720277E9</v>
      </c>
      <c r="C95" s="7" t="s">
        <v>515</v>
      </c>
      <c r="D95" s="21">
        <v>37973.0</v>
      </c>
      <c r="E95" s="7">
        <v>3.112786494E9</v>
      </c>
      <c r="F95" s="11" t="s">
        <v>516</v>
      </c>
      <c r="G95" s="7" t="s">
        <v>517</v>
      </c>
      <c r="H95" s="73">
        <f t="shared" si="11"/>
        <v>23</v>
      </c>
      <c r="I95" s="12" t="s">
        <v>25</v>
      </c>
      <c r="J95" s="7" t="s">
        <v>362</v>
      </c>
      <c r="K95" s="7" t="s">
        <v>27</v>
      </c>
      <c r="L95" s="7" t="s">
        <v>28</v>
      </c>
      <c r="M95" s="12" t="s">
        <v>61</v>
      </c>
      <c r="N95" s="12" t="s">
        <v>62</v>
      </c>
      <c r="O95" s="10">
        <v>44828.0</v>
      </c>
      <c r="P95" s="92">
        <f t="shared" si="26"/>
        <v>44918</v>
      </c>
      <c r="Q95" s="13">
        <v>45444.0</v>
      </c>
      <c r="R95" s="14" t="s">
        <v>31</v>
      </c>
      <c r="S95" s="15">
        <v>1300000.0</v>
      </c>
      <c r="T95" s="15">
        <v>650000.0</v>
      </c>
      <c r="U95" s="14" t="s">
        <v>31</v>
      </c>
    </row>
    <row r="96" ht="15.75" hidden="1" customHeight="1">
      <c r="A96" s="25" t="s">
        <v>260</v>
      </c>
      <c r="B96" s="120">
        <v>1.57387616E8</v>
      </c>
      <c r="C96" s="25" t="s">
        <v>518</v>
      </c>
      <c r="D96" s="119">
        <v>37926.0</v>
      </c>
      <c r="E96" s="25">
        <v>3.236202139E9</v>
      </c>
      <c r="F96" s="121" t="s">
        <v>519</v>
      </c>
      <c r="G96" s="25" t="s">
        <v>520</v>
      </c>
      <c r="H96" s="95">
        <f t="shared" si="11"/>
        <v>23</v>
      </c>
      <c r="I96" s="12" t="s">
        <v>25</v>
      </c>
      <c r="J96" s="7" t="s">
        <v>26</v>
      </c>
      <c r="K96" s="7" t="s">
        <v>89</v>
      </c>
      <c r="L96" s="7" t="s">
        <v>28</v>
      </c>
      <c r="M96" s="12" t="s">
        <v>61</v>
      </c>
      <c r="N96" s="12" t="s">
        <v>62</v>
      </c>
      <c r="O96" s="198">
        <v>45143.0</v>
      </c>
      <c r="P96" s="92">
        <f t="shared" si="26"/>
        <v>45233</v>
      </c>
      <c r="Q96" s="13">
        <v>45315.0</v>
      </c>
      <c r="R96" s="14" t="s">
        <v>31</v>
      </c>
      <c r="S96" s="15" t="s">
        <v>63</v>
      </c>
      <c r="T96" s="15" t="s">
        <v>63</v>
      </c>
      <c r="U96" s="14" t="s">
        <v>31</v>
      </c>
    </row>
    <row r="97" ht="15.75" hidden="1" customHeight="1">
      <c r="A97" s="25" t="s">
        <v>21</v>
      </c>
      <c r="B97" s="157">
        <v>5328386.0</v>
      </c>
      <c r="C97" s="158" t="s">
        <v>521</v>
      </c>
      <c r="D97" s="153">
        <v>38271.0</v>
      </c>
      <c r="E97" s="158">
        <v>3.502490009E9</v>
      </c>
      <c r="F97" s="36" t="s">
        <v>522</v>
      </c>
      <c r="G97" s="154" t="s">
        <v>523</v>
      </c>
      <c r="H97" s="7">
        <f t="shared" si="11"/>
        <v>22</v>
      </c>
      <c r="I97" s="12" t="s">
        <v>67</v>
      </c>
      <c r="J97" s="7" t="s">
        <v>26</v>
      </c>
      <c r="K97" s="199" t="s">
        <v>89</v>
      </c>
      <c r="L97" s="7" t="s">
        <v>28</v>
      </c>
      <c r="M97" s="12" t="s">
        <v>61</v>
      </c>
      <c r="N97" s="12" t="s">
        <v>62</v>
      </c>
      <c r="O97" s="168">
        <v>45394.0</v>
      </c>
      <c r="P97" s="92">
        <f t="shared" ref="P97:P98" si="27">O97+60</f>
        <v>45454</v>
      </c>
      <c r="Q97" s="13">
        <v>45444.0</v>
      </c>
      <c r="R97" s="14" t="s">
        <v>31</v>
      </c>
      <c r="S97" s="15">
        <v>1300000.0</v>
      </c>
      <c r="T97" s="15">
        <v>650000.0</v>
      </c>
      <c r="U97" s="14" t="s">
        <v>31</v>
      </c>
    </row>
    <row r="98" ht="15.75" hidden="1" customHeight="1">
      <c r="A98" s="12" t="s">
        <v>21</v>
      </c>
      <c r="B98" s="151">
        <v>7393575.0</v>
      </c>
      <c r="C98" s="152" t="s">
        <v>524</v>
      </c>
      <c r="D98" s="103">
        <v>37198.0</v>
      </c>
      <c r="E98" s="154">
        <v>3.154114663E9</v>
      </c>
      <c r="F98" s="36" t="s">
        <v>525</v>
      </c>
      <c r="G98" s="154" t="s">
        <v>526</v>
      </c>
      <c r="H98" s="7">
        <f t="shared" si="11"/>
        <v>25</v>
      </c>
      <c r="I98" s="12" t="s">
        <v>67</v>
      </c>
      <c r="J98" s="7" t="s">
        <v>26</v>
      </c>
      <c r="K98" s="60" t="s">
        <v>89</v>
      </c>
      <c r="L98" s="7" t="s">
        <v>73</v>
      </c>
      <c r="M98" s="12" t="s">
        <v>61</v>
      </c>
      <c r="N98" s="12" t="s">
        <v>62</v>
      </c>
      <c r="O98" s="91">
        <v>45299.0</v>
      </c>
      <c r="P98" s="92">
        <f t="shared" si="27"/>
        <v>45359</v>
      </c>
      <c r="Q98" s="13">
        <v>45351.0</v>
      </c>
      <c r="R98" s="14" t="s">
        <v>31</v>
      </c>
      <c r="S98" s="15">
        <v>1300000.0</v>
      </c>
      <c r="T98" s="54">
        <v>650000.0</v>
      </c>
      <c r="U98" s="14" t="s">
        <v>31</v>
      </c>
    </row>
    <row r="99" ht="15.75" hidden="1" customHeight="1">
      <c r="A99" s="12" t="s">
        <v>21</v>
      </c>
      <c r="B99" s="151">
        <v>6487920.0</v>
      </c>
      <c r="C99" s="152" t="s">
        <v>527</v>
      </c>
      <c r="D99" s="153">
        <v>33280.0</v>
      </c>
      <c r="E99" s="154">
        <v>3.13425724E9</v>
      </c>
      <c r="F99" s="36" t="s">
        <v>528</v>
      </c>
      <c r="G99" s="154" t="s">
        <v>529</v>
      </c>
      <c r="H99" s="73">
        <f t="shared" si="11"/>
        <v>35</v>
      </c>
      <c r="I99" s="12" t="s">
        <v>25</v>
      </c>
      <c r="J99" s="7" t="s">
        <v>26</v>
      </c>
      <c r="K99" s="60" t="s">
        <v>89</v>
      </c>
      <c r="L99" s="7" t="s">
        <v>48</v>
      </c>
      <c r="M99" s="12" t="s">
        <v>61</v>
      </c>
      <c r="N99" s="12" t="s">
        <v>62</v>
      </c>
      <c r="O99" s="91">
        <v>45139.0</v>
      </c>
      <c r="P99" s="92">
        <f>O99+90</f>
        <v>45229</v>
      </c>
      <c r="Q99" s="13">
        <v>45330.0</v>
      </c>
      <c r="R99" s="14" t="s">
        <v>31</v>
      </c>
      <c r="S99" s="15" t="s">
        <v>63</v>
      </c>
      <c r="T99" s="54" t="s">
        <v>63</v>
      </c>
      <c r="U99" s="14" t="s">
        <v>31</v>
      </c>
    </row>
    <row r="100" ht="15.75" hidden="1" customHeight="1">
      <c r="A100" s="12" t="s">
        <v>21</v>
      </c>
      <c r="B100" s="157">
        <v>1097673.0</v>
      </c>
      <c r="C100" s="158" t="s">
        <v>530</v>
      </c>
      <c r="D100" s="94">
        <v>28927.0</v>
      </c>
      <c r="E100" s="25">
        <v>3.246132141E9</v>
      </c>
      <c r="F100" s="107" t="s">
        <v>531</v>
      </c>
      <c r="G100" s="25" t="s">
        <v>532</v>
      </c>
      <c r="H100" s="7">
        <f t="shared" si="11"/>
        <v>47</v>
      </c>
      <c r="I100" s="12" t="s">
        <v>67</v>
      </c>
      <c r="J100" s="7" t="s">
        <v>26</v>
      </c>
      <c r="K100" s="199" t="s">
        <v>89</v>
      </c>
      <c r="L100" s="7" t="s">
        <v>73</v>
      </c>
      <c r="M100" s="12" t="s">
        <v>61</v>
      </c>
      <c r="N100" s="12" t="s">
        <v>62</v>
      </c>
      <c r="O100" s="91">
        <v>45393.0</v>
      </c>
      <c r="P100" s="92">
        <f>O100+60</f>
        <v>45453</v>
      </c>
      <c r="Q100" s="13">
        <v>45395.0</v>
      </c>
      <c r="R100" s="14" t="s">
        <v>31</v>
      </c>
      <c r="S100" s="15">
        <v>1300000.0</v>
      </c>
      <c r="T100" s="15">
        <v>650000.0</v>
      </c>
      <c r="U100" s="14" t="s">
        <v>31</v>
      </c>
    </row>
    <row r="101" ht="15.75" customHeight="1">
      <c r="A101" s="40" t="s">
        <v>267</v>
      </c>
      <c r="B101" s="193">
        <v>2.5911131E7</v>
      </c>
      <c r="C101" s="194" t="s">
        <v>533</v>
      </c>
      <c r="D101" s="133">
        <v>35712.0</v>
      </c>
      <c r="E101" s="200">
        <v>3.003655416E9</v>
      </c>
      <c r="F101" s="49" t="s">
        <v>534</v>
      </c>
      <c r="G101" s="49" t="s">
        <v>440</v>
      </c>
      <c r="H101" s="7">
        <f t="shared" si="11"/>
        <v>29</v>
      </c>
      <c r="I101" s="12" t="s">
        <v>25</v>
      </c>
      <c r="J101" s="7" t="s">
        <v>26</v>
      </c>
      <c r="K101" s="60" t="s">
        <v>89</v>
      </c>
      <c r="L101" s="11" t="s">
        <v>73</v>
      </c>
      <c r="M101" s="42" t="s">
        <v>61</v>
      </c>
      <c r="N101" s="42" t="s">
        <v>62</v>
      </c>
      <c r="O101" s="201">
        <v>44998.0</v>
      </c>
      <c r="P101" s="17">
        <f>O101+60</f>
        <v>45058</v>
      </c>
      <c r="Q101" s="7"/>
      <c r="R101" s="42" t="s">
        <v>39</v>
      </c>
      <c r="S101" s="15" t="s">
        <v>63</v>
      </c>
      <c r="T101" s="15" t="s">
        <v>63</v>
      </c>
      <c r="U101" s="36" t="s">
        <v>229</v>
      </c>
    </row>
    <row r="102" ht="15.75" hidden="1" customHeight="1">
      <c r="A102" s="36" t="s">
        <v>115</v>
      </c>
      <c r="B102" s="151">
        <v>2.6552789E7</v>
      </c>
      <c r="C102" s="154" t="s">
        <v>535</v>
      </c>
      <c r="D102" s="153">
        <v>36271.0</v>
      </c>
      <c r="E102" s="154">
        <v>3.0084117E9</v>
      </c>
      <c r="F102" s="155" t="s">
        <v>536</v>
      </c>
      <c r="G102" s="154" t="s">
        <v>537</v>
      </c>
      <c r="H102" s="73">
        <f t="shared" si="11"/>
        <v>27</v>
      </c>
      <c r="I102" s="12" t="s">
        <v>25</v>
      </c>
      <c r="J102" s="7" t="s">
        <v>26</v>
      </c>
      <c r="K102" s="7" t="s">
        <v>89</v>
      </c>
      <c r="L102" s="7" t="s">
        <v>28</v>
      </c>
      <c r="M102" s="42" t="s">
        <v>61</v>
      </c>
      <c r="N102" s="42" t="s">
        <v>62</v>
      </c>
      <c r="O102" s="91">
        <v>45260.0</v>
      </c>
      <c r="P102" s="92">
        <f t="shared" ref="P102:P105" si="28">O102+90</f>
        <v>45350</v>
      </c>
      <c r="Q102" s="13">
        <v>45351.0</v>
      </c>
      <c r="R102" s="14" t="s">
        <v>31</v>
      </c>
      <c r="S102" s="15">
        <v>1160000.0</v>
      </c>
      <c r="T102" s="15">
        <v>580000.0</v>
      </c>
      <c r="U102" s="14" t="s">
        <v>31</v>
      </c>
    </row>
    <row r="103" ht="15.75" hidden="1" customHeight="1">
      <c r="A103" s="12" t="s">
        <v>21</v>
      </c>
      <c r="B103" s="118">
        <v>1825531.0</v>
      </c>
      <c r="C103" s="12" t="s">
        <v>538</v>
      </c>
      <c r="D103" s="47">
        <v>32734.0</v>
      </c>
      <c r="E103" s="12">
        <v>3.118627552E9</v>
      </c>
      <c r="F103" s="36" t="s">
        <v>539</v>
      </c>
      <c r="G103" s="12" t="s">
        <v>540</v>
      </c>
      <c r="H103" s="7">
        <f t="shared" si="11"/>
        <v>37</v>
      </c>
      <c r="I103" s="12" t="s">
        <v>25</v>
      </c>
      <c r="J103" s="7" t="s">
        <v>26</v>
      </c>
      <c r="K103" s="7" t="s">
        <v>89</v>
      </c>
      <c r="L103" s="7" t="s">
        <v>28</v>
      </c>
      <c r="M103" s="12" t="s">
        <v>61</v>
      </c>
      <c r="N103" s="12" t="s">
        <v>62</v>
      </c>
      <c r="O103" s="91">
        <v>45305.0</v>
      </c>
      <c r="P103" s="92">
        <f t="shared" si="28"/>
        <v>45395</v>
      </c>
      <c r="Q103" s="13">
        <v>45320.0</v>
      </c>
      <c r="R103" s="14" t="s">
        <v>31</v>
      </c>
      <c r="S103" s="15">
        <v>1300000.0</v>
      </c>
      <c r="T103" s="15">
        <v>650000.0</v>
      </c>
      <c r="U103" s="14" t="s">
        <v>31</v>
      </c>
    </row>
    <row r="104" ht="15.75" hidden="1" customHeight="1">
      <c r="A104" s="36" t="s">
        <v>115</v>
      </c>
      <c r="B104" s="118">
        <v>3.1756272E7</v>
      </c>
      <c r="C104" s="12" t="s">
        <v>541</v>
      </c>
      <c r="D104" s="47">
        <v>38283.0</v>
      </c>
      <c r="E104" s="12">
        <v>3.15842059E9</v>
      </c>
      <c r="F104" s="36" t="s">
        <v>542</v>
      </c>
      <c r="G104" s="12" t="s">
        <v>543</v>
      </c>
      <c r="H104" s="7">
        <f t="shared" si="11"/>
        <v>22</v>
      </c>
      <c r="I104" s="12" t="s">
        <v>25</v>
      </c>
      <c r="J104" s="7" t="s">
        <v>26</v>
      </c>
      <c r="K104" s="7" t="s">
        <v>89</v>
      </c>
      <c r="L104" s="7" t="s">
        <v>28</v>
      </c>
      <c r="M104" s="12" t="s">
        <v>61</v>
      </c>
      <c r="N104" s="12" t="s">
        <v>62</v>
      </c>
      <c r="O104" s="91">
        <v>45246.0</v>
      </c>
      <c r="P104" s="92">
        <f t="shared" si="28"/>
        <v>45336</v>
      </c>
      <c r="Q104" s="13">
        <v>45351.0</v>
      </c>
      <c r="R104" s="14" t="s">
        <v>31</v>
      </c>
      <c r="S104" s="15">
        <v>1300000.0</v>
      </c>
      <c r="T104" s="54">
        <v>650000.0</v>
      </c>
      <c r="U104" s="14" t="s">
        <v>31</v>
      </c>
    </row>
    <row r="105" ht="15.75" hidden="1" customHeight="1">
      <c r="A105" s="36" t="s">
        <v>115</v>
      </c>
      <c r="B105" s="118">
        <v>2.2262516E7</v>
      </c>
      <c r="C105" s="12" t="s">
        <v>544</v>
      </c>
      <c r="D105" s="47">
        <v>34853.0</v>
      </c>
      <c r="E105" s="12">
        <v>3.127532209E9</v>
      </c>
      <c r="F105" s="36" t="s">
        <v>545</v>
      </c>
      <c r="G105" s="12" t="s">
        <v>546</v>
      </c>
      <c r="H105" s="161">
        <f t="shared" si="11"/>
        <v>31</v>
      </c>
      <c r="I105" s="12" t="s">
        <v>25</v>
      </c>
      <c r="J105" s="7" t="s">
        <v>26</v>
      </c>
      <c r="K105" s="7" t="s">
        <v>89</v>
      </c>
      <c r="L105" s="7" t="s">
        <v>73</v>
      </c>
      <c r="M105" s="12" t="s">
        <v>61</v>
      </c>
      <c r="N105" s="12" t="s">
        <v>62</v>
      </c>
      <c r="O105" s="91">
        <v>45176.0</v>
      </c>
      <c r="P105" s="92">
        <f t="shared" si="28"/>
        <v>45266</v>
      </c>
      <c r="Q105" s="13">
        <v>45266.0</v>
      </c>
      <c r="R105" s="14" t="s">
        <v>31</v>
      </c>
      <c r="S105" s="15">
        <v>1160000.0</v>
      </c>
      <c r="T105" s="15">
        <v>580000.0</v>
      </c>
      <c r="U105" s="14" t="s">
        <v>31</v>
      </c>
    </row>
    <row r="106" ht="15.75" hidden="1" customHeight="1">
      <c r="A106" s="121" t="s">
        <v>115</v>
      </c>
      <c r="B106" s="147">
        <v>3.2369759E7</v>
      </c>
      <c r="C106" s="146" t="s">
        <v>547</v>
      </c>
      <c r="D106" s="78">
        <v>38970.0</v>
      </c>
      <c r="E106" s="148">
        <v>3.005915155E9</v>
      </c>
      <c r="F106" s="117" t="s">
        <v>548</v>
      </c>
      <c r="G106" s="150" t="s">
        <v>549</v>
      </c>
      <c r="H106" s="150">
        <f t="shared" si="11"/>
        <v>20</v>
      </c>
      <c r="I106" s="12" t="s">
        <v>67</v>
      </c>
      <c r="J106" s="7" t="s">
        <v>26</v>
      </c>
      <c r="K106" s="7" t="s">
        <v>89</v>
      </c>
      <c r="L106" s="7" t="s">
        <v>48</v>
      </c>
      <c r="M106" s="12" t="s">
        <v>61</v>
      </c>
      <c r="N106" s="12" t="s">
        <v>62</v>
      </c>
      <c r="O106" s="186">
        <v>45965.0</v>
      </c>
      <c r="P106" s="187">
        <v>45734.0</v>
      </c>
      <c r="Q106" s="11" t="s">
        <v>550</v>
      </c>
      <c r="R106" s="14" t="s">
        <v>31</v>
      </c>
      <c r="S106" s="145">
        <v>1423500.0</v>
      </c>
      <c r="T106" s="145">
        <v>711750.0</v>
      </c>
      <c r="U106" s="14" t="s">
        <v>31</v>
      </c>
    </row>
    <row r="107" ht="15.75" hidden="1" customHeight="1">
      <c r="A107" s="36" t="s">
        <v>115</v>
      </c>
      <c r="B107" s="118">
        <v>2.871721E7</v>
      </c>
      <c r="C107" s="12" t="s">
        <v>551</v>
      </c>
      <c r="D107" s="47">
        <v>37944.0</v>
      </c>
      <c r="E107" s="12">
        <v>3.043635698E9</v>
      </c>
      <c r="F107" s="36" t="s">
        <v>552</v>
      </c>
      <c r="G107" s="12" t="s">
        <v>553</v>
      </c>
      <c r="H107" s="73">
        <f t="shared" si="11"/>
        <v>23</v>
      </c>
      <c r="I107" s="12" t="s">
        <v>25</v>
      </c>
      <c r="J107" s="7" t="s">
        <v>26</v>
      </c>
      <c r="K107" s="7" t="s">
        <v>89</v>
      </c>
      <c r="L107" s="7" t="s">
        <v>48</v>
      </c>
      <c r="M107" s="12" t="s">
        <v>61</v>
      </c>
      <c r="N107" s="12" t="s">
        <v>62</v>
      </c>
      <c r="O107" s="91">
        <v>45146.0</v>
      </c>
      <c r="P107" s="92">
        <f t="shared" ref="P107:P108" si="29">O107+90</f>
        <v>45236</v>
      </c>
      <c r="Q107" s="13">
        <v>45288.0</v>
      </c>
      <c r="R107" s="14" t="s">
        <v>31</v>
      </c>
      <c r="S107" s="15">
        <v>1160000.0</v>
      </c>
      <c r="T107" s="15">
        <v>580000.0</v>
      </c>
      <c r="U107" s="14" t="s">
        <v>31</v>
      </c>
    </row>
    <row r="108" ht="15.75" hidden="1" customHeight="1">
      <c r="A108" s="40" t="s">
        <v>115</v>
      </c>
      <c r="B108" s="202">
        <v>2.9819911E7</v>
      </c>
      <c r="C108" s="34" t="s">
        <v>554</v>
      </c>
      <c r="D108" s="203">
        <v>37770.0</v>
      </c>
      <c r="E108" s="34">
        <v>3.002942192E9</v>
      </c>
      <c r="F108" s="40" t="s">
        <v>555</v>
      </c>
      <c r="G108" s="34" t="s">
        <v>556</v>
      </c>
      <c r="H108" s="60">
        <f t="shared" si="11"/>
        <v>23</v>
      </c>
      <c r="I108" s="12" t="s">
        <v>25</v>
      </c>
      <c r="J108" s="7" t="s">
        <v>26</v>
      </c>
      <c r="K108" s="60" t="s">
        <v>89</v>
      </c>
      <c r="L108" s="7" t="s">
        <v>73</v>
      </c>
      <c r="M108" s="12" t="s">
        <v>61</v>
      </c>
      <c r="N108" s="12" t="s">
        <v>62</v>
      </c>
      <c r="O108" s="80">
        <v>44846.0</v>
      </c>
      <c r="P108" s="92">
        <f t="shared" si="29"/>
        <v>44936</v>
      </c>
      <c r="Q108" s="11" t="s">
        <v>347</v>
      </c>
      <c r="R108" s="14" t="s">
        <v>31</v>
      </c>
      <c r="S108" s="15" t="s">
        <v>63</v>
      </c>
      <c r="T108" s="54" t="s">
        <v>63</v>
      </c>
      <c r="U108" s="14" t="s">
        <v>31</v>
      </c>
    </row>
    <row r="109" ht="15.75" customHeight="1">
      <c r="A109" s="61" t="s">
        <v>267</v>
      </c>
      <c r="B109" s="193">
        <v>2.9819911E7</v>
      </c>
      <c r="C109" s="200" t="s">
        <v>554</v>
      </c>
      <c r="D109" s="204">
        <v>37766.0</v>
      </c>
      <c r="E109" s="200">
        <v>3.002942192E9</v>
      </c>
      <c r="F109" s="200" t="s">
        <v>557</v>
      </c>
      <c r="G109" s="200" t="s">
        <v>558</v>
      </c>
      <c r="H109" s="7">
        <f t="shared" si="11"/>
        <v>23</v>
      </c>
      <c r="I109" s="12" t="s">
        <v>25</v>
      </c>
      <c r="J109" s="7" t="s">
        <v>26</v>
      </c>
      <c r="K109" s="7" t="s">
        <v>89</v>
      </c>
      <c r="L109" s="7" t="s">
        <v>28</v>
      </c>
      <c r="M109" s="42" t="s">
        <v>61</v>
      </c>
      <c r="N109" s="42" t="s">
        <v>62</v>
      </c>
      <c r="O109" s="205">
        <v>45841.0</v>
      </c>
      <c r="P109" s="17">
        <f>O109+60</f>
        <v>45901</v>
      </c>
      <c r="Q109" s="7"/>
      <c r="R109" s="12" t="s">
        <v>39</v>
      </c>
      <c r="S109" s="15" t="s">
        <v>63</v>
      </c>
      <c r="T109" s="15" t="s">
        <v>63</v>
      </c>
      <c r="U109" s="36" t="s">
        <v>229</v>
      </c>
    </row>
    <row r="110" ht="15.75" hidden="1" customHeight="1">
      <c r="A110" s="206" t="s">
        <v>115</v>
      </c>
      <c r="B110" s="207">
        <v>2.0243254E7</v>
      </c>
      <c r="C110" s="192" t="s">
        <v>559</v>
      </c>
      <c r="D110" s="208">
        <v>33143.0</v>
      </c>
      <c r="E110" s="192">
        <v>3.002911489E9</v>
      </c>
      <c r="F110" s="206" t="s">
        <v>560</v>
      </c>
      <c r="G110" s="101" t="s">
        <v>561</v>
      </c>
      <c r="H110" s="73">
        <f t="shared" si="11"/>
        <v>36</v>
      </c>
      <c r="I110" s="12" t="s">
        <v>25</v>
      </c>
      <c r="J110" s="7" t="s">
        <v>26</v>
      </c>
      <c r="K110" s="7" t="s">
        <v>89</v>
      </c>
      <c r="L110" s="7" t="s">
        <v>73</v>
      </c>
      <c r="M110" s="12" t="s">
        <v>61</v>
      </c>
      <c r="N110" s="12" t="s">
        <v>62</v>
      </c>
      <c r="O110" s="115">
        <v>44958.0</v>
      </c>
      <c r="P110" s="92">
        <f>O110+90</f>
        <v>45048</v>
      </c>
      <c r="Q110" s="13">
        <v>45146.0</v>
      </c>
      <c r="R110" s="14" t="s">
        <v>31</v>
      </c>
      <c r="S110" s="15" t="s">
        <v>63</v>
      </c>
      <c r="T110" s="15" t="s">
        <v>63</v>
      </c>
      <c r="U110" s="14" t="s">
        <v>31</v>
      </c>
    </row>
    <row r="111" ht="15.75" hidden="1" customHeight="1">
      <c r="A111" s="49" t="s">
        <v>562</v>
      </c>
      <c r="B111" s="49">
        <v>1.92878331E8</v>
      </c>
      <c r="C111" s="209" t="s">
        <v>563</v>
      </c>
      <c r="D111" s="133">
        <v>38271.0</v>
      </c>
      <c r="E111" s="12">
        <v>3.005507362E9</v>
      </c>
      <c r="F111" s="36" t="s">
        <v>564</v>
      </c>
      <c r="G111" s="36" t="s">
        <v>565</v>
      </c>
      <c r="H111" s="7">
        <f t="shared" si="11"/>
        <v>22</v>
      </c>
      <c r="I111" s="12" t="s">
        <v>25</v>
      </c>
      <c r="J111" s="7" t="s">
        <v>26</v>
      </c>
      <c r="K111" s="7" t="s">
        <v>89</v>
      </c>
      <c r="L111" s="7" t="s">
        <v>28</v>
      </c>
      <c r="M111" s="12" t="s">
        <v>61</v>
      </c>
      <c r="N111" s="12" t="s">
        <v>62</v>
      </c>
      <c r="O111" s="37">
        <v>44964.0</v>
      </c>
      <c r="P111" s="17">
        <f t="shared" ref="P111:P112" si="30">O111+60</f>
        <v>45024</v>
      </c>
      <c r="Q111" s="11" t="s">
        <v>566</v>
      </c>
      <c r="R111" s="24" t="s">
        <v>31</v>
      </c>
      <c r="S111" s="15" t="s">
        <v>63</v>
      </c>
      <c r="T111" s="15" t="s">
        <v>63</v>
      </c>
      <c r="U111" s="14" t="s">
        <v>31</v>
      </c>
    </row>
    <row r="112" ht="15.75" hidden="1" customHeight="1">
      <c r="A112" s="36" t="s">
        <v>115</v>
      </c>
      <c r="B112" s="118">
        <v>2.7454144E7</v>
      </c>
      <c r="C112" s="49" t="s">
        <v>567</v>
      </c>
      <c r="D112" s="130">
        <v>36768.0</v>
      </c>
      <c r="E112" s="49">
        <v>3.244479572E9</v>
      </c>
      <c r="F112" s="36" t="s">
        <v>568</v>
      </c>
      <c r="G112" s="36" t="s">
        <v>569</v>
      </c>
      <c r="H112" s="7">
        <f t="shared" si="11"/>
        <v>26</v>
      </c>
      <c r="I112" s="12" t="s">
        <v>67</v>
      </c>
      <c r="J112" s="7" t="s">
        <v>26</v>
      </c>
      <c r="K112" s="7" t="s">
        <v>89</v>
      </c>
      <c r="L112" s="7" t="s">
        <v>28</v>
      </c>
      <c r="M112" s="12" t="s">
        <v>61</v>
      </c>
      <c r="N112" s="12" t="s">
        <v>62</v>
      </c>
      <c r="O112" s="136">
        <v>45526.0</v>
      </c>
      <c r="P112" s="92">
        <f t="shared" si="30"/>
        <v>45586</v>
      </c>
      <c r="Q112" s="11" t="s">
        <v>570</v>
      </c>
      <c r="R112" s="14" t="s">
        <v>31</v>
      </c>
      <c r="S112" s="145">
        <v>1462000.0</v>
      </c>
      <c r="T112" s="145">
        <v>731000.0</v>
      </c>
      <c r="U112" s="14" t="s">
        <v>31</v>
      </c>
    </row>
    <row r="113" ht="15.75" hidden="1" customHeight="1">
      <c r="A113" s="12" t="s">
        <v>260</v>
      </c>
      <c r="B113" s="118">
        <v>1.82123148E8</v>
      </c>
      <c r="C113" s="42" t="s">
        <v>571</v>
      </c>
      <c r="D113" s="119">
        <v>36088.0</v>
      </c>
      <c r="E113" s="42">
        <v>3.232059712E9</v>
      </c>
      <c r="F113" s="36" t="s">
        <v>572</v>
      </c>
      <c r="G113" s="12" t="s">
        <v>259</v>
      </c>
      <c r="H113" s="73">
        <f t="shared" si="11"/>
        <v>28</v>
      </c>
      <c r="I113" s="12" t="s">
        <v>25</v>
      </c>
      <c r="J113" s="7" t="s">
        <v>26</v>
      </c>
      <c r="K113" s="7" t="s">
        <v>89</v>
      </c>
      <c r="L113" s="7" t="s">
        <v>48</v>
      </c>
      <c r="M113" s="12" t="s">
        <v>61</v>
      </c>
      <c r="N113" s="12" t="s">
        <v>62</v>
      </c>
      <c r="O113" s="91">
        <v>45231.0</v>
      </c>
      <c r="P113" s="92">
        <f t="shared" ref="P113:P116" si="31">O113+90</f>
        <v>45321</v>
      </c>
      <c r="Q113" s="13">
        <v>45351.0</v>
      </c>
      <c r="R113" s="14" t="s">
        <v>31</v>
      </c>
      <c r="S113" s="15">
        <v>1300000.0</v>
      </c>
      <c r="T113" s="15">
        <v>650000.0</v>
      </c>
      <c r="U113" s="14" t="s">
        <v>31</v>
      </c>
    </row>
    <row r="114" ht="15.75" hidden="1" customHeight="1">
      <c r="A114" s="36" t="s">
        <v>115</v>
      </c>
      <c r="B114" s="118">
        <v>2.868934E7</v>
      </c>
      <c r="C114" s="42" t="s">
        <v>573</v>
      </c>
      <c r="D114" s="156">
        <v>37152.0</v>
      </c>
      <c r="E114" s="42">
        <v>3.115812599E9</v>
      </c>
      <c r="F114" s="36" t="s">
        <v>574</v>
      </c>
      <c r="G114" s="12" t="s">
        <v>575</v>
      </c>
      <c r="H114" s="7">
        <f t="shared" si="11"/>
        <v>25</v>
      </c>
      <c r="I114" s="12" t="s">
        <v>25</v>
      </c>
      <c r="J114" s="7" t="s">
        <v>26</v>
      </c>
      <c r="K114" s="7" t="s">
        <v>89</v>
      </c>
      <c r="L114" s="7" t="s">
        <v>28</v>
      </c>
      <c r="M114" s="12" t="s">
        <v>61</v>
      </c>
      <c r="N114" s="12" t="s">
        <v>62</v>
      </c>
      <c r="O114" s="91">
        <v>45100.0</v>
      </c>
      <c r="P114" s="92">
        <f t="shared" si="31"/>
        <v>45190</v>
      </c>
      <c r="Q114" s="13">
        <v>45162.0</v>
      </c>
      <c r="R114" s="14" t="s">
        <v>31</v>
      </c>
      <c r="S114" s="15">
        <v>1160000.0</v>
      </c>
      <c r="T114" s="54">
        <v>580000.0</v>
      </c>
      <c r="U114" s="14" t="s">
        <v>31</v>
      </c>
    </row>
    <row r="115" ht="15.75" hidden="1" customHeight="1">
      <c r="A115" s="7" t="s">
        <v>50</v>
      </c>
      <c r="B115" s="8">
        <v>1.002800565E9</v>
      </c>
      <c r="C115" s="7" t="s">
        <v>576</v>
      </c>
      <c r="D115" s="21">
        <v>36902.0</v>
      </c>
      <c r="E115" s="7">
        <v>3.134207226E9</v>
      </c>
      <c r="F115" s="11" t="s">
        <v>577</v>
      </c>
      <c r="G115" s="7" t="s">
        <v>578</v>
      </c>
      <c r="H115" s="7">
        <f t="shared" si="11"/>
        <v>25</v>
      </c>
      <c r="I115" s="12" t="s">
        <v>67</v>
      </c>
      <c r="J115" s="7" t="s">
        <v>26</v>
      </c>
      <c r="K115" s="7" t="s">
        <v>89</v>
      </c>
      <c r="L115" s="7" t="s">
        <v>48</v>
      </c>
      <c r="M115" s="12" t="s">
        <v>61</v>
      </c>
      <c r="N115" s="12" t="s">
        <v>62</v>
      </c>
      <c r="O115" s="10">
        <v>44918.0</v>
      </c>
      <c r="P115" s="92">
        <f t="shared" si="31"/>
        <v>45008</v>
      </c>
      <c r="Q115" s="13">
        <v>45076.0</v>
      </c>
      <c r="R115" s="14" t="s">
        <v>31</v>
      </c>
      <c r="S115" s="15">
        <v>1160000.0</v>
      </c>
      <c r="T115" s="15">
        <v>580000.0</v>
      </c>
      <c r="U115" s="14" t="s">
        <v>31</v>
      </c>
    </row>
    <row r="116" ht="15.75" hidden="1" customHeight="1">
      <c r="A116" s="7" t="s">
        <v>21</v>
      </c>
      <c r="B116" s="8">
        <v>1398576.0</v>
      </c>
      <c r="C116" s="7" t="s">
        <v>579</v>
      </c>
      <c r="D116" s="21">
        <v>32030.0</v>
      </c>
      <c r="E116" s="7">
        <v>3.125353779E9</v>
      </c>
      <c r="F116" s="11" t="s">
        <v>580</v>
      </c>
      <c r="G116" s="7" t="s">
        <v>581</v>
      </c>
      <c r="H116" s="73">
        <f t="shared" si="11"/>
        <v>39</v>
      </c>
      <c r="I116" s="12" t="s">
        <v>67</v>
      </c>
      <c r="J116" s="7" t="s">
        <v>26</v>
      </c>
      <c r="K116" s="7" t="s">
        <v>89</v>
      </c>
      <c r="L116" s="7" t="s">
        <v>48</v>
      </c>
      <c r="M116" s="12" t="s">
        <v>61</v>
      </c>
      <c r="N116" s="12" t="s">
        <v>62</v>
      </c>
      <c r="O116" s="10">
        <v>44821.0</v>
      </c>
      <c r="P116" s="92">
        <f t="shared" si="31"/>
        <v>44911</v>
      </c>
      <c r="Q116" s="13">
        <v>45365.0</v>
      </c>
      <c r="R116" s="14" t="s">
        <v>31</v>
      </c>
      <c r="S116" s="15" t="s">
        <v>63</v>
      </c>
      <c r="T116" s="54" t="s">
        <v>63</v>
      </c>
      <c r="U116" s="14" t="s">
        <v>31</v>
      </c>
    </row>
    <row r="117" ht="15.75" hidden="1" customHeight="1">
      <c r="A117" s="210" t="s">
        <v>21</v>
      </c>
      <c r="B117" s="211">
        <v>1398576.0</v>
      </c>
      <c r="C117" s="49" t="s">
        <v>579</v>
      </c>
      <c r="D117" s="130">
        <v>31665.0</v>
      </c>
      <c r="E117" s="49">
        <v>3.125353779E9</v>
      </c>
      <c r="F117" s="49" t="s">
        <v>580</v>
      </c>
      <c r="G117" s="49" t="s">
        <v>582</v>
      </c>
      <c r="H117" s="7">
        <f t="shared" si="11"/>
        <v>40</v>
      </c>
      <c r="I117" s="12" t="s">
        <v>67</v>
      </c>
      <c r="J117" s="7" t="s">
        <v>26</v>
      </c>
      <c r="K117" s="7" t="s">
        <v>89</v>
      </c>
      <c r="L117" s="7" t="s">
        <v>48</v>
      </c>
      <c r="M117" s="12" t="s">
        <v>61</v>
      </c>
      <c r="N117" s="12" t="s">
        <v>62</v>
      </c>
      <c r="O117" s="186">
        <v>45689.0</v>
      </c>
      <c r="P117" s="21">
        <f t="shared" ref="P117:P118" si="32">O117+60</f>
        <v>45749</v>
      </c>
      <c r="Q117" s="22">
        <v>45965.0</v>
      </c>
      <c r="R117" s="14" t="s">
        <v>31</v>
      </c>
      <c r="S117" s="100" t="s">
        <v>63</v>
      </c>
      <c r="T117" s="100" t="s">
        <v>63</v>
      </c>
      <c r="U117" s="14" t="s">
        <v>31</v>
      </c>
    </row>
    <row r="118" ht="15.75" hidden="1" customHeight="1">
      <c r="A118" s="49" t="s">
        <v>50</v>
      </c>
      <c r="B118" s="129" t="s">
        <v>583</v>
      </c>
      <c r="C118" s="49" t="s">
        <v>584</v>
      </c>
      <c r="D118" s="166">
        <v>35213.0</v>
      </c>
      <c r="E118" s="49">
        <v>3.2495005E9</v>
      </c>
      <c r="F118" s="49" t="s">
        <v>585</v>
      </c>
      <c r="G118" s="49" t="s">
        <v>586</v>
      </c>
      <c r="H118" s="7">
        <f t="shared" si="11"/>
        <v>30</v>
      </c>
      <c r="I118" s="12" t="s">
        <v>67</v>
      </c>
      <c r="J118" s="7" t="s">
        <v>26</v>
      </c>
      <c r="K118" s="7" t="s">
        <v>89</v>
      </c>
      <c r="L118" s="7" t="s">
        <v>48</v>
      </c>
      <c r="M118" s="12" t="s">
        <v>61</v>
      </c>
      <c r="N118" s="12" t="s">
        <v>62</v>
      </c>
      <c r="O118" s="46">
        <v>45919.0</v>
      </c>
      <c r="P118" s="17">
        <f t="shared" si="32"/>
        <v>45979</v>
      </c>
      <c r="Q118" s="11" t="s">
        <v>587</v>
      </c>
      <c r="R118" s="24" t="s">
        <v>31</v>
      </c>
      <c r="S118" s="100">
        <v>1423500.0</v>
      </c>
      <c r="T118" s="212">
        <v>711750.0</v>
      </c>
      <c r="U118" s="36" t="s">
        <v>588</v>
      </c>
    </row>
    <row r="119" ht="15.75" hidden="1" customHeight="1">
      <c r="A119" s="146" t="s">
        <v>50</v>
      </c>
      <c r="B119" s="147">
        <v>1.234098368E9</v>
      </c>
      <c r="C119" s="146" t="s">
        <v>589</v>
      </c>
      <c r="D119" s="78">
        <v>26685.0</v>
      </c>
      <c r="E119" s="148">
        <v>3.015147576E9</v>
      </c>
      <c r="F119" s="117" t="s">
        <v>590</v>
      </c>
      <c r="G119" s="150" t="s">
        <v>591</v>
      </c>
      <c r="H119" s="144">
        <f t="shared" si="11"/>
        <v>53</v>
      </c>
      <c r="I119" s="12" t="s">
        <v>67</v>
      </c>
      <c r="J119" s="7" t="s">
        <v>26</v>
      </c>
      <c r="K119" s="7" t="s">
        <v>89</v>
      </c>
      <c r="L119" s="7" t="s">
        <v>73</v>
      </c>
      <c r="M119" s="12" t="s">
        <v>61</v>
      </c>
      <c r="N119" s="12" t="s">
        <v>62</v>
      </c>
      <c r="O119" s="186">
        <v>45965.0</v>
      </c>
      <c r="P119" s="187">
        <v>45727.0</v>
      </c>
      <c r="Q119" s="13">
        <v>45289.0</v>
      </c>
      <c r="R119" s="14" t="s">
        <v>31</v>
      </c>
      <c r="S119" s="145">
        <v>1623500.0</v>
      </c>
      <c r="T119" s="213">
        <v>811750.0</v>
      </c>
      <c r="U119" s="14" t="s">
        <v>31</v>
      </c>
    </row>
    <row r="120" ht="15.75" customHeight="1">
      <c r="A120" s="200" t="s">
        <v>21</v>
      </c>
      <c r="B120" s="214">
        <v>4869553.0</v>
      </c>
      <c r="C120" s="200" t="s">
        <v>233</v>
      </c>
      <c r="D120" s="204">
        <v>36013.0</v>
      </c>
      <c r="E120" s="200">
        <v>3.118398069E9</v>
      </c>
      <c r="F120" s="200" t="s">
        <v>234</v>
      </c>
      <c r="G120" s="200" t="s">
        <v>592</v>
      </c>
      <c r="H120" s="73">
        <f t="shared" si="11"/>
        <v>28</v>
      </c>
      <c r="I120" s="12" t="s">
        <v>25</v>
      </c>
      <c r="J120" s="7" t="s">
        <v>35</v>
      </c>
      <c r="K120" s="11" t="s">
        <v>36</v>
      </c>
      <c r="L120" s="11" t="s">
        <v>28</v>
      </c>
      <c r="M120" s="12" t="s">
        <v>61</v>
      </c>
      <c r="N120" s="12" t="s">
        <v>62</v>
      </c>
      <c r="O120" s="205">
        <v>45677.0</v>
      </c>
      <c r="P120" s="215">
        <f t="shared" ref="P120:P121" si="33">O120+60</f>
        <v>45737</v>
      </c>
      <c r="Q120" s="7"/>
      <c r="R120" s="12" t="s">
        <v>39</v>
      </c>
      <c r="S120" s="100" t="s">
        <v>63</v>
      </c>
      <c r="T120" s="100" t="s">
        <v>63</v>
      </c>
      <c r="U120" s="36" t="s">
        <v>593</v>
      </c>
    </row>
    <row r="121" ht="15.75" hidden="1" customHeight="1">
      <c r="A121" s="192" t="s">
        <v>50</v>
      </c>
      <c r="B121" s="214">
        <v>1.01243058E9</v>
      </c>
      <c r="C121" s="192" t="s">
        <v>594</v>
      </c>
      <c r="D121" s="208">
        <v>35150.0</v>
      </c>
      <c r="E121" s="192">
        <v>3.157791994E9</v>
      </c>
      <c r="F121" s="200" t="s">
        <v>595</v>
      </c>
      <c r="G121" s="192" t="s">
        <v>596</v>
      </c>
      <c r="H121" s="60">
        <f t="shared" si="11"/>
        <v>30</v>
      </c>
      <c r="I121" s="12" t="s">
        <v>67</v>
      </c>
      <c r="J121" s="7" t="s">
        <v>26</v>
      </c>
      <c r="K121" s="7" t="s">
        <v>89</v>
      </c>
      <c r="L121" s="7" t="s">
        <v>73</v>
      </c>
      <c r="M121" s="12" t="s">
        <v>61</v>
      </c>
      <c r="N121" s="12" t="s">
        <v>62</v>
      </c>
      <c r="O121" s="216">
        <v>45495.0</v>
      </c>
      <c r="P121" s="203">
        <f t="shared" si="33"/>
        <v>45555</v>
      </c>
      <c r="Q121" s="11" t="s">
        <v>597</v>
      </c>
      <c r="R121" s="14" t="s">
        <v>31</v>
      </c>
      <c r="S121" s="145">
        <v>1623500.0</v>
      </c>
      <c r="T121" s="145">
        <v>811750.0</v>
      </c>
      <c r="U121" s="14" t="s">
        <v>31</v>
      </c>
    </row>
    <row r="122" ht="15.75" hidden="1" customHeight="1">
      <c r="A122" s="101" t="s">
        <v>21</v>
      </c>
      <c r="B122" s="207">
        <v>5131940.0</v>
      </c>
      <c r="C122" s="192" t="s">
        <v>598</v>
      </c>
      <c r="D122" s="208">
        <v>36565.0</v>
      </c>
      <c r="E122" s="192">
        <v>3.012429942E9</v>
      </c>
      <c r="F122" s="206" t="s">
        <v>599</v>
      </c>
      <c r="G122" s="101" t="s">
        <v>526</v>
      </c>
      <c r="H122" s="7">
        <f t="shared" si="11"/>
        <v>26</v>
      </c>
      <c r="I122" s="12" t="s">
        <v>67</v>
      </c>
      <c r="J122" s="7" t="s">
        <v>26</v>
      </c>
      <c r="K122" s="7" t="s">
        <v>89</v>
      </c>
      <c r="L122" s="7" t="s">
        <v>48</v>
      </c>
      <c r="M122" s="12" t="s">
        <v>61</v>
      </c>
      <c r="N122" s="12" t="s">
        <v>62</v>
      </c>
      <c r="O122" s="115">
        <v>45338.0</v>
      </c>
      <c r="P122" s="217">
        <f t="shared" ref="P122:P123" si="34">O122+90</f>
        <v>45428</v>
      </c>
      <c r="Q122" s="13">
        <v>45366.0</v>
      </c>
      <c r="R122" s="14" t="s">
        <v>31</v>
      </c>
      <c r="S122" s="15">
        <v>1300000.0</v>
      </c>
      <c r="T122" s="15">
        <v>650000.0</v>
      </c>
      <c r="U122" s="14" t="s">
        <v>31</v>
      </c>
    </row>
    <row r="123" ht="15.75" hidden="1" customHeight="1">
      <c r="A123" s="113" t="s">
        <v>115</v>
      </c>
      <c r="B123" s="218">
        <v>3.1282479E7</v>
      </c>
      <c r="C123" s="75" t="s">
        <v>600</v>
      </c>
      <c r="D123" s="114">
        <v>38303.0</v>
      </c>
      <c r="E123" s="75">
        <v>3.2167052E9</v>
      </c>
      <c r="F123" s="113" t="s">
        <v>601</v>
      </c>
      <c r="G123" s="75" t="s">
        <v>602</v>
      </c>
      <c r="H123" s="73">
        <f t="shared" si="11"/>
        <v>22</v>
      </c>
      <c r="I123" s="12" t="s">
        <v>25</v>
      </c>
      <c r="J123" s="7" t="s">
        <v>26</v>
      </c>
      <c r="K123" s="7" t="s">
        <v>89</v>
      </c>
      <c r="L123" s="7" t="s">
        <v>73</v>
      </c>
      <c r="M123" s="12" t="s">
        <v>61</v>
      </c>
      <c r="N123" s="12" t="s">
        <v>62</v>
      </c>
      <c r="O123" s="115">
        <v>45250.0</v>
      </c>
      <c r="P123" s="92">
        <f t="shared" si="34"/>
        <v>45340</v>
      </c>
      <c r="Q123" s="13">
        <v>45351.0</v>
      </c>
      <c r="R123" s="14" t="s">
        <v>31</v>
      </c>
      <c r="S123" s="106">
        <v>1160000.0</v>
      </c>
      <c r="T123" s="106">
        <v>580000.0</v>
      </c>
      <c r="U123" s="14" t="s">
        <v>31</v>
      </c>
    </row>
    <row r="124" ht="15.75" hidden="1" customHeight="1">
      <c r="A124" s="113" t="s">
        <v>115</v>
      </c>
      <c r="B124" s="219">
        <v>3.1282479E7</v>
      </c>
      <c r="C124" s="77" t="s">
        <v>600</v>
      </c>
      <c r="D124" s="114">
        <v>38303.0</v>
      </c>
      <c r="E124" s="77">
        <v>3.2167052E9</v>
      </c>
      <c r="F124" s="76" t="s">
        <v>601</v>
      </c>
      <c r="G124" s="77" t="s">
        <v>602</v>
      </c>
      <c r="H124" s="60">
        <f t="shared" si="11"/>
        <v>22</v>
      </c>
      <c r="I124" s="12" t="s">
        <v>25</v>
      </c>
      <c r="J124" s="7" t="s">
        <v>26</v>
      </c>
      <c r="K124" s="7" t="s">
        <v>89</v>
      </c>
      <c r="L124" s="7" t="s">
        <v>28</v>
      </c>
      <c r="M124" s="12" t="s">
        <v>61</v>
      </c>
      <c r="N124" s="12" t="s">
        <v>62</v>
      </c>
      <c r="O124" s="115">
        <v>45367.0</v>
      </c>
      <c r="P124" s="92">
        <f>O124+60</f>
        <v>45427</v>
      </c>
      <c r="Q124" s="13">
        <v>45389.0</v>
      </c>
      <c r="R124" s="14" t="s">
        <v>31</v>
      </c>
      <c r="S124" s="15">
        <v>1300000.0</v>
      </c>
      <c r="T124" s="15">
        <v>650000.0</v>
      </c>
      <c r="U124" s="14" t="s">
        <v>31</v>
      </c>
    </row>
    <row r="125" ht="15.75" hidden="1" customHeight="1">
      <c r="A125" s="12" t="s">
        <v>50</v>
      </c>
      <c r="B125" s="118">
        <v>1.032465497E9</v>
      </c>
      <c r="C125" s="42" t="s">
        <v>603</v>
      </c>
      <c r="D125" s="156">
        <v>34214.0</v>
      </c>
      <c r="E125" s="42">
        <v>3.123462684E9</v>
      </c>
      <c r="F125" s="36" t="s">
        <v>604</v>
      </c>
      <c r="G125" s="12" t="s">
        <v>605</v>
      </c>
      <c r="H125" s="7">
        <f t="shared" si="11"/>
        <v>33</v>
      </c>
      <c r="I125" s="12" t="s">
        <v>67</v>
      </c>
      <c r="J125" s="7" t="s">
        <v>26</v>
      </c>
      <c r="K125" s="7" t="s">
        <v>89</v>
      </c>
      <c r="L125" s="7" t="s">
        <v>48</v>
      </c>
      <c r="M125" s="12" t="s">
        <v>61</v>
      </c>
      <c r="N125" s="12" t="s">
        <v>62</v>
      </c>
      <c r="O125" s="91">
        <v>44978.0</v>
      </c>
      <c r="P125" s="92">
        <f t="shared" ref="P125:P127" si="35">O125+90</f>
        <v>45068</v>
      </c>
      <c r="Q125" s="13">
        <v>45036.0</v>
      </c>
      <c r="R125" s="14" t="s">
        <v>31</v>
      </c>
      <c r="S125" s="15">
        <v>1160000.0</v>
      </c>
      <c r="T125" s="15">
        <v>580000.0</v>
      </c>
      <c r="U125" s="14" t="s">
        <v>31</v>
      </c>
    </row>
    <row r="126" ht="15.75" hidden="1" customHeight="1">
      <c r="A126" s="36" t="s">
        <v>115</v>
      </c>
      <c r="B126" s="118">
        <v>2.9620126E7</v>
      </c>
      <c r="C126" s="42" t="s">
        <v>606</v>
      </c>
      <c r="D126" s="156">
        <v>37427.0</v>
      </c>
      <c r="E126" s="42">
        <v>3.242593829E9</v>
      </c>
      <c r="F126" s="36" t="s">
        <v>607</v>
      </c>
      <c r="G126" s="12" t="s">
        <v>561</v>
      </c>
      <c r="H126" s="7">
        <f t="shared" si="11"/>
        <v>24</v>
      </c>
      <c r="I126" s="12" t="s">
        <v>67</v>
      </c>
      <c r="J126" s="7" t="s">
        <v>26</v>
      </c>
      <c r="K126" s="7" t="s">
        <v>89</v>
      </c>
      <c r="L126" s="7" t="s">
        <v>48</v>
      </c>
      <c r="M126" s="12" t="s">
        <v>61</v>
      </c>
      <c r="N126" s="12" t="s">
        <v>62</v>
      </c>
      <c r="O126" s="91">
        <v>44962.0</v>
      </c>
      <c r="P126" s="92">
        <f t="shared" si="35"/>
        <v>45052</v>
      </c>
      <c r="Q126" s="13">
        <v>45190.0</v>
      </c>
      <c r="R126" s="14" t="s">
        <v>31</v>
      </c>
      <c r="S126" s="15" t="s">
        <v>63</v>
      </c>
      <c r="T126" s="15" t="s">
        <v>63</v>
      </c>
      <c r="U126" s="14" t="s">
        <v>31</v>
      </c>
    </row>
    <row r="127" ht="15.75" hidden="1" customHeight="1">
      <c r="A127" s="36" t="s">
        <v>115</v>
      </c>
      <c r="B127" s="118">
        <v>2.1045079E7</v>
      </c>
      <c r="C127" s="42" t="s">
        <v>608</v>
      </c>
      <c r="D127" s="156">
        <v>33545.0</v>
      </c>
      <c r="E127" s="42">
        <v>3.103413469E9</v>
      </c>
      <c r="F127" s="36" t="s">
        <v>609</v>
      </c>
      <c r="G127" s="12" t="s">
        <v>610</v>
      </c>
      <c r="H127" s="7">
        <f t="shared" si="11"/>
        <v>35</v>
      </c>
      <c r="I127" s="12" t="s">
        <v>25</v>
      </c>
      <c r="J127" s="7" t="s">
        <v>26</v>
      </c>
      <c r="K127" s="7" t="s">
        <v>89</v>
      </c>
      <c r="L127" s="7" t="s">
        <v>28</v>
      </c>
      <c r="M127" s="12" t="s">
        <v>61</v>
      </c>
      <c r="N127" s="12" t="s">
        <v>62</v>
      </c>
      <c r="O127" s="91">
        <v>45229.0</v>
      </c>
      <c r="P127" s="92">
        <f t="shared" si="35"/>
        <v>45319</v>
      </c>
      <c r="Q127" s="13">
        <v>45351.0</v>
      </c>
      <c r="R127" s="14" t="s">
        <v>31</v>
      </c>
      <c r="S127" s="15">
        <v>1300000.0</v>
      </c>
      <c r="T127" s="15">
        <v>650000.0</v>
      </c>
      <c r="U127" s="14" t="s">
        <v>31</v>
      </c>
    </row>
    <row r="128" ht="15.75" customHeight="1">
      <c r="A128" s="49" t="s">
        <v>21</v>
      </c>
      <c r="B128" s="129" t="s">
        <v>611</v>
      </c>
      <c r="C128" s="49" t="s">
        <v>612</v>
      </c>
      <c r="D128" s="166">
        <v>38927.0</v>
      </c>
      <c r="E128" s="49">
        <v>3.244870143E9</v>
      </c>
      <c r="F128" s="49" t="s">
        <v>613</v>
      </c>
      <c r="G128" s="49" t="s">
        <v>614</v>
      </c>
      <c r="H128" s="7">
        <f t="shared" si="11"/>
        <v>20</v>
      </c>
      <c r="I128" s="12" t="s">
        <v>67</v>
      </c>
      <c r="J128" s="7" t="s">
        <v>26</v>
      </c>
      <c r="K128" s="7" t="s">
        <v>89</v>
      </c>
      <c r="L128" s="11" t="s">
        <v>28</v>
      </c>
      <c r="M128" s="12" t="s">
        <v>61</v>
      </c>
      <c r="N128" s="12" t="s">
        <v>62</v>
      </c>
      <c r="O128" s="46">
        <v>45916.0</v>
      </c>
      <c r="P128" s="17">
        <f>O128+60</f>
        <v>45976</v>
      </c>
      <c r="Q128" s="7"/>
      <c r="R128" s="12" t="s">
        <v>39</v>
      </c>
      <c r="S128" s="100" t="s">
        <v>63</v>
      </c>
      <c r="T128" s="100" t="s">
        <v>63</v>
      </c>
      <c r="U128" s="36" t="s">
        <v>615</v>
      </c>
    </row>
    <row r="129" ht="15.75" customHeight="1">
      <c r="O129" s="220"/>
      <c r="P129" s="221"/>
    </row>
    <row r="130" ht="15.75" customHeight="1">
      <c r="O130" s="220"/>
      <c r="P130" s="221"/>
    </row>
    <row r="131" ht="15.75" customHeight="1">
      <c r="O131" s="220"/>
      <c r="P131" s="221"/>
    </row>
    <row r="132" ht="15.75" customHeight="1">
      <c r="O132" s="220"/>
      <c r="P132" s="221"/>
    </row>
    <row r="133" ht="15.75" customHeight="1">
      <c r="O133" s="220"/>
      <c r="P133" s="221"/>
    </row>
    <row r="134" ht="15.75" customHeight="1">
      <c r="O134" s="220"/>
      <c r="P134" s="221"/>
    </row>
    <row r="135" ht="15.75" customHeight="1">
      <c r="O135" s="220"/>
      <c r="P135" s="221"/>
    </row>
    <row r="136" ht="15.75" customHeight="1">
      <c r="O136" s="220"/>
      <c r="P136" s="221"/>
    </row>
    <row r="137" ht="15.75" customHeight="1">
      <c r="O137" s="220"/>
      <c r="P137" s="221"/>
    </row>
    <row r="138" ht="15.75" customHeight="1">
      <c r="O138" s="220"/>
      <c r="P138" s="221"/>
    </row>
    <row r="139" ht="15.75" customHeight="1">
      <c r="O139" s="220"/>
      <c r="P139" s="221"/>
    </row>
    <row r="140" ht="15.75" customHeight="1">
      <c r="O140" s="220"/>
      <c r="P140" s="221"/>
    </row>
    <row r="141" ht="15.75" customHeight="1">
      <c r="O141" s="220"/>
      <c r="P141" s="221"/>
    </row>
    <row r="142" ht="15.75" customHeight="1">
      <c r="O142" s="220"/>
      <c r="P142" s="221"/>
    </row>
    <row r="143" ht="15.75" customHeight="1">
      <c r="O143" s="220"/>
      <c r="P143" s="221"/>
    </row>
    <row r="144" ht="15.75" customHeight="1">
      <c r="O144" s="220"/>
      <c r="P144" s="221"/>
    </row>
    <row r="145" ht="15.75" customHeight="1">
      <c r="O145" s="220"/>
      <c r="P145" s="221"/>
    </row>
    <row r="146" ht="15.75" customHeight="1">
      <c r="O146" s="220"/>
      <c r="P146" s="221"/>
    </row>
    <row r="147" ht="15.75" customHeight="1">
      <c r="O147" s="220"/>
      <c r="P147" s="221"/>
    </row>
    <row r="148" ht="15.75" customHeight="1">
      <c r="O148" s="220"/>
      <c r="P148" s="221"/>
    </row>
    <row r="149" ht="15.75" customHeight="1">
      <c r="O149" s="220"/>
      <c r="P149" s="221"/>
    </row>
    <row r="150" ht="15.75" customHeight="1">
      <c r="O150" s="220"/>
      <c r="P150" s="221"/>
    </row>
    <row r="151" ht="15.75" customHeight="1">
      <c r="O151" s="220"/>
      <c r="P151" s="221"/>
    </row>
    <row r="152" ht="15.75" customHeight="1">
      <c r="O152" s="220"/>
      <c r="P152" s="221"/>
    </row>
    <row r="153" ht="15.75" customHeight="1">
      <c r="O153" s="220"/>
      <c r="P153" s="221"/>
    </row>
    <row r="154" ht="15.75" customHeight="1">
      <c r="O154" s="220"/>
      <c r="P154" s="221"/>
    </row>
    <row r="155" ht="15.75" customHeight="1">
      <c r="O155" s="220"/>
      <c r="P155" s="221"/>
    </row>
    <row r="156" ht="15.75" customHeight="1">
      <c r="O156" s="220"/>
      <c r="P156" s="221"/>
    </row>
    <row r="157" ht="15.75" customHeight="1">
      <c r="O157" s="220"/>
      <c r="P157" s="221"/>
    </row>
    <row r="158" ht="15.75" customHeight="1">
      <c r="O158" s="220"/>
      <c r="P158" s="221"/>
    </row>
    <row r="159" ht="15.75" customHeight="1">
      <c r="O159" s="220"/>
      <c r="P159" s="221"/>
    </row>
    <row r="160" ht="15.75" customHeight="1">
      <c r="O160" s="220"/>
      <c r="P160" s="221"/>
    </row>
    <row r="161" ht="15.75" customHeight="1">
      <c r="O161" s="220"/>
      <c r="P161" s="221"/>
    </row>
    <row r="162" ht="15.75" customHeight="1">
      <c r="O162" s="220"/>
      <c r="P162" s="221"/>
    </row>
    <row r="163" ht="15.75" customHeight="1">
      <c r="O163" s="220"/>
      <c r="P163" s="221"/>
    </row>
    <row r="164" ht="15.75" customHeight="1">
      <c r="O164" s="220"/>
      <c r="P164" s="221"/>
    </row>
    <row r="165" ht="15.75" customHeight="1">
      <c r="O165" s="220"/>
      <c r="P165" s="221"/>
    </row>
    <row r="166" ht="15.75" customHeight="1">
      <c r="O166" s="220"/>
      <c r="P166" s="221"/>
    </row>
    <row r="167" ht="15.75" customHeight="1">
      <c r="O167" s="220"/>
      <c r="P167" s="221"/>
    </row>
    <row r="168" ht="15.75" customHeight="1">
      <c r="O168" s="220"/>
      <c r="P168" s="221"/>
    </row>
    <row r="169" ht="15.75" customHeight="1">
      <c r="O169" s="220"/>
      <c r="P169" s="221"/>
    </row>
    <row r="170" ht="15.75" customHeight="1">
      <c r="O170" s="220"/>
      <c r="P170" s="221"/>
    </row>
    <row r="171" ht="15.75" customHeight="1">
      <c r="O171" s="220"/>
      <c r="P171" s="221"/>
    </row>
    <row r="172" ht="15.75" customHeight="1">
      <c r="O172" s="220"/>
      <c r="P172" s="221"/>
    </row>
    <row r="173" ht="15.75" customHeight="1">
      <c r="O173" s="220"/>
      <c r="P173" s="221"/>
    </row>
    <row r="174" ht="15.75" customHeight="1">
      <c r="O174" s="220"/>
      <c r="P174" s="221"/>
    </row>
    <row r="175" ht="15.75" customHeight="1">
      <c r="O175" s="220"/>
      <c r="P175" s="221"/>
    </row>
    <row r="176" ht="15.75" customHeight="1">
      <c r="O176" s="220"/>
      <c r="P176" s="221"/>
    </row>
    <row r="177" ht="15.75" customHeight="1">
      <c r="O177" s="220"/>
      <c r="P177" s="221"/>
    </row>
    <row r="178" ht="15.75" customHeight="1">
      <c r="O178" s="220"/>
      <c r="P178" s="221"/>
    </row>
    <row r="179" ht="15.75" customHeight="1">
      <c r="O179" s="220"/>
      <c r="P179" s="221"/>
    </row>
    <row r="180" ht="15.75" customHeight="1">
      <c r="O180" s="220"/>
      <c r="P180" s="221"/>
    </row>
    <row r="181" ht="15.75" customHeight="1">
      <c r="O181" s="220"/>
      <c r="P181" s="221"/>
    </row>
    <row r="182" ht="15.75" customHeight="1">
      <c r="O182" s="220"/>
      <c r="P182" s="221"/>
    </row>
    <row r="183" ht="15.75" customHeight="1">
      <c r="O183" s="220"/>
      <c r="P183" s="221"/>
    </row>
    <row r="184" ht="15.75" customHeight="1">
      <c r="O184" s="220"/>
      <c r="P184" s="221"/>
    </row>
    <row r="185" ht="15.75" customHeight="1">
      <c r="O185" s="220"/>
      <c r="P185" s="221"/>
    </row>
    <row r="186" ht="15.75" customHeight="1">
      <c r="O186" s="220"/>
      <c r="P186" s="221"/>
    </row>
    <row r="187" ht="15.75" customHeight="1">
      <c r="O187" s="220"/>
      <c r="P187" s="221"/>
    </row>
    <row r="188" ht="15.75" customHeight="1">
      <c r="O188" s="220"/>
      <c r="P188" s="221"/>
    </row>
    <row r="189" ht="15.75" customHeight="1">
      <c r="O189" s="220"/>
      <c r="P189" s="221"/>
    </row>
    <row r="190" ht="15.75" customHeight="1">
      <c r="O190" s="220"/>
      <c r="P190" s="221"/>
    </row>
    <row r="191" ht="15.75" customHeight="1">
      <c r="O191" s="220"/>
      <c r="P191" s="221"/>
    </row>
    <row r="192" ht="15.75" customHeight="1">
      <c r="O192" s="220"/>
      <c r="P192" s="221"/>
    </row>
    <row r="193" ht="15.75" customHeight="1">
      <c r="O193" s="220"/>
      <c r="P193" s="221"/>
    </row>
    <row r="194" ht="15.75" customHeight="1">
      <c r="O194" s="220"/>
      <c r="P194" s="221"/>
    </row>
    <row r="195" ht="15.75" customHeight="1">
      <c r="O195" s="220"/>
      <c r="P195" s="221"/>
    </row>
    <row r="196" ht="15.75" customHeight="1">
      <c r="O196" s="220"/>
      <c r="P196" s="221"/>
    </row>
    <row r="197" ht="15.75" customHeight="1">
      <c r="O197" s="220"/>
      <c r="P197" s="221"/>
    </row>
    <row r="198" ht="15.75" customHeight="1">
      <c r="O198" s="220"/>
      <c r="P198" s="221"/>
    </row>
    <row r="199" ht="15.75" customHeight="1">
      <c r="O199" s="220"/>
      <c r="P199" s="221"/>
    </row>
    <row r="200" ht="15.75" customHeight="1">
      <c r="O200" s="220"/>
      <c r="P200" s="221"/>
    </row>
    <row r="201" ht="15.75" customHeight="1">
      <c r="O201" s="220"/>
      <c r="P201" s="221"/>
    </row>
    <row r="202" ht="15.75" customHeight="1">
      <c r="O202" s="220"/>
      <c r="P202" s="221"/>
    </row>
    <row r="203" ht="15.75" customHeight="1">
      <c r="O203" s="220"/>
      <c r="P203" s="221"/>
    </row>
    <row r="204" ht="15.75" customHeight="1">
      <c r="O204" s="220"/>
      <c r="P204" s="221"/>
    </row>
    <row r="205" ht="15.75" customHeight="1">
      <c r="O205" s="220"/>
      <c r="P205" s="221"/>
    </row>
    <row r="206" ht="15.75" customHeight="1">
      <c r="O206" s="220"/>
      <c r="P206" s="221"/>
    </row>
    <row r="207" ht="15.75" customHeight="1">
      <c r="O207" s="220"/>
      <c r="P207" s="221"/>
    </row>
    <row r="208" ht="15.75" customHeight="1">
      <c r="O208" s="220"/>
      <c r="P208" s="221"/>
    </row>
    <row r="209" ht="15.75" customHeight="1">
      <c r="O209" s="220"/>
      <c r="P209" s="221"/>
    </row>
    <row r="210" ht="15.75" customHeight="1">
      <c r="O210" s="220"/>
      <c r="P210" s="221"/>
    </row>
    <row r="211" ht="15.75" customHeight="1">
      <c r="O211" s="220"/>
      <c r="P211" s="221"/>
    </row>
    <row r="212" ht="15.75" customHeight="1">
      <c r="O212" s="220"/>
      <c r="P212" s="221"/>
    </row>
    <row r="213" ht="15.75" customHeight="1">
      <c r="O213" s="220"/>
      <c r="P213" s="221"/>
    </row>
    <row r="214" ht="15.75" customHeight="1">
      <c r="O214" s="220"/>
      <c r="P214" s="221"/>
    </row>
    <row r="215" ht="15.75" customHeight="1">
      <c r="O215" s="220"/>
      <c r="P215" s="221"/>
    </row>
    <row r="216" ht="15.75" customHeight="1">
      <c r="O216" s="220"/>
      <c r="P216" s="221"/>
    </row>
    <row r="217" ht="15.75" customHeight="1">
      <c r="O217" s="220"/>
      <c r="P217" s="221"/>
    </row>
    <row r="218" ht="15.75" customHeight="1">
      <c r="O218" s="220"/>
      <c r="P218" s="221"/>
    </row>
    <row r="219" ht="15.75" customHeight="1">
      <c r="O219" s="220"/>
      <c r="P219" s="221"/>
    </row>
    <row r="220" ht="15.75" customHeight="1">
      <c r="O220" s="220"/>
      <c r="P220" s="221"/>
    </row>
    <row r="221" ht="15.75" customHeight="1">
      <c r="O221" s="220"/>
      <c r="P221" s="221"/>
    </row>
    <row r="222" ht="15.75" customHeight="1">
      <c r="O222" s="220"/>
      <c r="P222" s="221"/>
    </row>
    <row r="223" ht="15.75" customHeight="1">
      <c r="O223" s="220"/>
      <c r="P223" s="221"/>
    </row>
    <row r="224" ht="15.75" customHeight="1">
      <c r="O224" s="220"/>
      <c r="P224" s="221"/>
    </row>
    <row r="225" ht="15.75" customHeight="1">
      <c r="O225" s="220"/>
      <c r="P225" s="221"/>
    </row>
    <row r="226" ht="15.75" customHeight="1">
      <c r="O226" s="220"/>
      <c r="P226" s="221"/>
    </row>
    <row r="227" ht="15.75" customHeight="1">
      <c r="O227" s="220"/>
      <c r="P227" s="221"/>
    </row>
    <row r="228" ht="15.75" customHeight="1">
      <c r="O228" s="220"/>
      <c r="P228" s="221"/>
    </row>
    <row r="229" ht="15.75" customHeight="1">
      <c r="O229" s="220"/>
      <c r="P229" s="221"/>
    </row>
    <row r="230" ht="15.75" customHeight="1">
      <c r="O230" s="220"/>
      <c r="P230" s="221"/>
    </row>
    <row r="231" ht="15.75" customHeight="1">
      <c r="O231" s="220"/>
      <c r="P231" s="221"/>
    </row>
    <row r="232" ht="15.75" customHeight="1">
      <c r="O232" s="220"/>
      <c r="P232" s="221"/>
    </row>
    <row r="233" ht="15.75" customHeight="1">
      <c r="O233" s="220"/>
      <c r="P233" s="221"/>
    </row>
    <row r="234" ht="15.75" customHeight="1">
      <c r="O234" s="220"/>
      <c r="P234" s="221"/>
    </row>
    <row r="235" ht="15.75" customHeight="1">
      <c r="O235" s="220"/>
      <c r="P235" s="221"/>
    </row>
    <row r="236" ht="15.75" customHeight="1">
      <c r="O236" s="220"/>
      <c r="P236" s="221"/>
    </row>
    <row r="237" ht="15.75" customHeight="1">
      <c r="O237" s="220"/>
      <c r="P237" s="221"/>
    </row>
    <row r="238" ht="15.75" customHeight="1">
      <c r="O238" s="220"/>
      <c r="P238" s="221"/>
    </row>
    <row r="239" ht="15.75" customHeight="1">
      <c r="O239" s="220"/>
      <c r="P239" s="221"/>
    </row>
    <row r="240" ht="15.75" customHeight="1">
      <c r="O240" s="220"/>
      <c r="P240" s="221"/>
    </row>
    <row r="241" ht="15.75" customHeight="1">
      <c r="O241" s="220"/>
      <c r="P241" s="221"/>
    </row>
    <row r="242" ht="15.75" customHeight="1">
      <c r="O242" s="220"/>
      <c r="P242" s="221"/>
    </row>
    <row r="243" ht="15.75" customHeight="1">
      <c r="O243" s="220"/>
      <c r="P243" s="221"/>
    </row>
    <row r="244" ht="15.75" customHeight="1">
      <c r="O244" s="220"/>
      <c r="P244" s="221"/>
    </row>
    <row r="245" ht="15.75" customHeight="1">
      <c r="O245" s="220"/>
      <c r="P245" s="221"/>
    </row>
    <row r="246" ht="15.75" customHeight="1">
      <c r="O246" s="220"/>
      <c r="P246" s="221"/>
    </row>
    <row r="247" ht="15.75" customHeight="1">
      <c r="O247" s="220"/>
      <c r="P247" s="221"/>
    </row>
    <row r="248" ht="15.75" customHeight="1">
      <c r="O248" s="220"/>
      <c r="P248" s="221"/>
    </row>
    <row r="249" ht="15.75" customHeight="1">
      <c r="O249" s="220"/>
      <c r="P249" s="221"/>
    </row>
    <row r="250" ht="15.75" customHeight="1">
      <c r="O250" s="220"/>
      <c r="P250" s="221"/>
    </row>
    <row r="251" ht="15.75" customHeight="1">
      <c r="O251" s="220"/>
      <c r="P251" s="221"/>
    </row>
    <row r="252" ht="15.75" customHeight="1">
      <c r="O252" s="220"/>
      <c r="P252" s="221"/>
    </row>
    <row r="253" ht="15.75" customHeight="1">
      <c r="O253" s="220"/>
      <c r="P253" s="221"/>
    </row>
    <row r="254" ht="15.75" customHeight="1">
      <c r="O254" s="220"/>
      <c r="P254" s="221"/>
    </row>
    <row r="255" ht="15.75" customHeight="1">
      <c r="O255" s="220"/>
      <c r="P255" s="221"/>
    </row>
    <row r="256" ht="15.75" customHeight="1">
      <c r="O256" s="220"/>
      <c r="P256" s="221"/>
    </row>
    <row r="257" ht="15.75" customHeight="1">
      <c r="O257" s="220"/>
      <c r="P257" s="221"/>
    </row>
    <row r="258" ht="15.75" customHeight="1">
      <c r="O258" s="220"/>
      <c r="P258" s="221"/>
    </row>
    <row r="259" ht="15.75" customHeight="1">
      <c r="O259" s="220"/>
      <c r="P259" s="221"/>
    </row>
    <row r="260" ht="15.75" customHeight="1">
      <c r="O260" s="220"/>
      <c r="P260" s="221"/>
    </row>
    <row r="261" ht="15.75" customHeight="1">
      <c r="O261" s="220"/>
      <c r="P261" s="221"/>
    </row>
    <row r="262" ht="15.75" customHeight="1">
      <c r="O262" s="220"/>
      <c r="P262" s="221"/>
    </row>
    <row r="263" ht="15.75" customHeight="1">
      <c r="O263" s="220"/>
      <c r="P263" s="221"/>
    </row>
    <row r="264" ht="15.75" customHeight="1">
      <c r="O264" s="220"/>
      <c r="P264" s="221"/>
    </row>
    <row r="265" ht="15.75" customHeight="1">
      <c r="O265" s="220"/>
      <c r="P265" s="221"/>
    </row>
    <row r="266" ht="15.75" customHeight="1">
      <c r="O266" s="220"/>
      <c r="P266" s="221"/>
    </row>
    <row r="267" ht="15.75" customHeight="1">
      <c r="O267" s="220"/>
      <c r="P267" s="221"/>
    </row>
    <row r="268" ht="15.75" customHeight="1">
      <c r="O268" s="220"/>
      <c r="P268" s="221"/>
    </row>
    <row r="269" ht="15.75" customHeight="1">
      <c r="O269" s="220"/>
      <c r="P269" s="221"/>
    </row>
    <row r="270" ht="15.75" customHeight="1">
      <c r="O270" s="220"/>
      <c r="P270" s="221"/>
    </row>
    <row r="271" ht="15.75" customHeight="1">
      <c r="O271" s="220"/>
      <c r="P271" s="221"/>
    </row>
    <row r="272" ht="15.75" customHeight="1">
      <c r="O272" s="220"/>
      <c r="P272" s="221"/>
    </row>
    <row r="273" ht="15.75" customHeight="1">
      <c r="O273" s="220"/>
      <c r="P273" s="221"/>
    </row>
    <row r="274" ht="15.75" customHeight="1">
      <c r="O274" s="220"/>
      <c r="P274" s="221"/>
    </row>
    <row r="275" ht="15.75" customHeight="1">
      <c r="O275" s="220"/>
      <c r="P275" s="221"/>
    </row>
    <row r="276" ht="15.75" customHeight="1">
      <c r="O276" s="220"/>
      <c r="P276" s="221"/>
    </row>
    <row r="277" ht="15.75" customHeight="1">
      <c r="O277" s="220"/>
      <c r="P277" s="221"/>
    </row>
    <row r="278" ht="15.75" customHeight="1">
      <c r="O278" s="220"/>
      <c r="P278" s="221"/>
    </row>
    <row r="279" ht="15.75" customHeight="1">
      <c r="O279" s="220"/>
      <c r="P279" s="221"/>
    </row>
    <row r="280" ht="15.75" customHeight="1">
      <c r="O280" s="220"/>
      <c r="P280" s="221"/>
    </row>
    <row r="281" ht="15.75" customHeight="1">
      <c r="O281" s="220"/>
      <c r="P281" s="221"/>
    </row>
    <row r="282" ht="15.75" customHeight="1">
      <c r="O282" s="220"/>
      <c r="P282" s="221"/>
    </row>
    <row r="283" ht="15.75" customHeight="1">
      <c r="O283" s="220"/>
      <c r="P283" s="221"/>
    </row>
    <row r="284" ht="15.75" customHeight="1">
      <c r="O284" s="220"/>
      <c r="P284" s="221"/>
    </row>
    <row r="285" ht="15.75" customHeight="1">
      <c r="O285" s="220"/>
      <c r="P285" s="221"/>
    </row>
    <row r="286" ht="15.75" customHeight="1">
      <c r="O286" s="220"/>
      <c r="P286" s="221"/>
    </row>
    <row r="287" ht="15.75" customHeight="1">
      <c r="O287" s="220"/>
      <c r="P287" s="221"/>
    </row>
    <row r="288" ht="15.75" customHeight="1">
      <c r="O288" s="220"/>
      <c r="P288" s="221"/>
    </row>
    <row r="289" ht="15.75" customHeight="1">
      <c r="O289" s="220"/>
      <c r="P289" s="221"/>
    </row>
    <row r="290" ht="15.75" customHeight="1">
      <c r="O290" s="220"/>
      <c r="P290" s="221"/>
    </row>
    <row r="291" ht="15.75" customHeight="1">
      <c r="O291" s="220"/>
      <c r="P291" s="221"/>
    </row>
    <row r="292" ht="15.75" customHeight="1">
      <c r="O292" s="220"/>
      <c r="P292" s="221"/>
    </row>
    <row r="293" ht="15.75" customHeight="1">
      <c r="O293" s="220"/>
      <c r="P293" s="221"/>
    </row>
    <row r="294" ht="15.75" customHeight="1">
      <c r="O294" s="220"/>
      <c r="P294" s="221"/>
    </row>
    <row r="295" ht="15.75" customHeight="1">
      <c r="O295" s="220"/>
      <c r="P295" s="221"/>
    </row>
    <row r="296" ht="15.75" customHeight="1">
      <c r="O296" s="220"/>
      <c r="P296" s="221"/>
    </row>
    <row r="297" ht="15.75" customHeight="1">
      <c r="O297" s="220"/>
      <c r="P297" s="221"/>
    </row>
    <row r="298" ht="15.75" customHeight="1">
      <c r="O298" s="220"/>
      <c r="P298" s="221"/>
    </row>
    <row r="299" ht="15.75" customHeight="1">
      <c r="O299" s="220"/>
      <c r="P299" s="221"/>
    </row>
    <row r="300" ht="15.75" customHeight="1">
      <c r="O300" s="220"/>
      <c r="P300" s="221"/>
    </row>
    <row r="301" ht="15.75" customHeight="1">
      <c r="O301" s="220"/>
      <c r="P301" s="221"/>
    </row>
    <row r="302" ht="15.75" customHeight="1">
      <c r="O302" s="220"/>
      <c r="P302" s="221"/>
    </row>
    <row r="303" ht="15.75" customHeight="1">
      <c r="O303" s="220"/>
      <c r="P303" s="221"/>
    </row>
    <row r="304" ht="15.75" customHeight="1">
      <c r="O304" s="220"/>
      <c r="P304" s="221"/>
    </row>
    <row r="305" ht="15.75" customHeight="1">
      <c r="O305" s="220"/>
      <c r="P305" s="221"/>
    </row>
    <row r="306" ht="15.75" customHeight="1">
      <c r="O306" s="220"/>
      <c r="P306" s="221"/>
    </row>
    <row r="307" ht="15.75" customHeight="1">
      <c r="O307" s="220"/>
      <c r="P307" s="221"/>
    </row>
    <row r="308" ht="15.75" customHeight="1">
      <c r="O308" s="220"/>
      <c r="P308" s="221"/>
    </row>
    <row r="309" ht="15.75" customHeight="1">
      <c r="O309" s="220"/>
      <c r="P309" s="221"/>
    </row>
    <row r="310" ht="15.75" customHeight="1">
      <c r="O310" s="220"/>
      <c r="P310" s="221"/>
    </row>
    <row r="311" ht="15.75" customHeight="1">
      <c r="O311" s="220"/>
      <c r="P311" s="221"/>
    </row>
    <row r="312" ht="15.75" customHeight="1">
      <c r="O312" s="220"/>
      <c r="P312" s="221"/>
    </row>
    <row r="313" ht="15.75" customHeight="1">
      <c r="O313" s="220"/>
      <c r="P313" s="221"/>
    </row>
    <row r="314" ht="15.75" customHeight="1">
      <c r="O314" s="220"/>
      <c r="P314" s="221"/>
    </row>
    <row r="315" ht="15.75" customHeight="1">
      <c r="O315" s="220"/>
      <c r="P315" s="221"/>
    </row>
    <row r="316" ht="15.75" customHeight="1">
      <c r="O316" s="220"/>
      <c r="P316" s="221"/>
    </row>
    <row r="317" ht="15.75" customHeight="1">
      <c r="O317" s="220"/>
      <c r="P317" s="221"/>
    </row>
    <row r="318" ht="15.75" customHeight="1">
      <c r="O318" s="220"/>
      <c r="P318" s="221"/>
    </row>
    <row r="319" ht="15.75" customHeight="1">
      <c r="O319" s="220"/>
      <c r="P319" s="221"/>
    </row>
    <row r="320" ht="15.75" customHeight="1">
      <c r="O320" s="220"/>
      <c r="P320" s="221"/>
    </row>
    <row r="321" ht="15.75" customHeight="1">
      <c r="O321" s="220"/>
      <c r="P321" s="221"/>
    </row>
    <row r="322" ht="15.75" customHeight="1">
      <c r="O322" s="220"/>
      <c r="P322" s="221"/>
    </row>
    <row r="323" ht="15.75" customHeight="1">
      <c r="O323" s="220"/>
      <c r="P323" s="221"/>
    </row>
    <row r="324" ht="15.75" customHeight="1">
      <c r="O324" s="220"/>
      <c r="P324" s="221"/>
    </row>
    <row r="325" ht="15.75" customHeight="1">
      <c r="O325" s="220"/>
      <c r="P325" s="221"/>
    </row>
    <row r="326" ht="15.75" customHeight="1">
      <c r="O326" s="220"/>
      <c r="P326" s="221"/>
    </row>
    <row r="327" ht="15.75" customHeight="1">
      <c r="O327" s="220"/>
      <c r="P327" s="221"/>
    </row>
    <row r="328" ht="15.75" customHeight="1">
      <c r="O328" s="220"/>
      <c r="P328" s="221"/>
    </row>
    <row r="329" ht="15.75" customHeight="1">
      <c r="O329" s="220"/>
      <c r="P329" s="221"/>
    </row>
    <row r="330" ht="15.75" customHeight="1">
      <c r="O330" s="220"/>
      <c r="P330" s="221"/>
    </row>
    <row r="331" ht="15.75" customHeight="1">
      <c r="O331" s="220"/>
      <c r="P331" s="221"/>
    </row>
    <row r="332" ht="15.75" customHeight="1">
      <c r="O332" s="220"/>
      <c r="P332" s="221"/>
    </row>
    <row r="333" ht="15.75" customHeight="1">
      <c r="O333" s="220"/>
      <c r="P333" s="221"/>
    </row>
    <row r="334" ht="15.75" customHeight="1">
      <c r="O334" s="220"/>
      <c r="P334" s="221"/>
    </row>
    <row r="335" ht="15.75" customHeight="1">
      <c r="O335" s="220"/>
      <c r="P335" s="221"/>
    </row>
    <row r="336" ht="15.75" customHeight="1">
      <c r="O336" s="220"/>
      <c r="P336" s="221"/>
    </row>
    <row r="337" ht="15.75" customHeight="1">
      <c r="O337" s="220"/>
      <c r="P337" s="221"/>
    </row>
    <row r="338" ht="15.75" customHeight="1">
      <c r="O338" s="220"/>
      <c r="P338" s="221"/>
    </row>
    <row r="339" ht="15.75" customHeight="1">
      <c r="O339" s="220"/>
      <c r="P339" s="221"/>
    </row>
    <row r="340" ht="15.75" customHeight="1">
      <c r="O340" s="220"/>
      <c r="P340" s="221"/>
    </row>
    <row r="341" ht="15.75" customHeight="1">
      <c r="O341" s="220"/>
      <c r="P341" s="221"/>
    </row>
    <row r="342" ht="15.75" customHeight="1">
      <c r="O342" s="220"/>
      <c r="P342" s="221"/>
    </row>
    <row r="343" ht="15.75" customHeight="1">
      <c r="O343" s="220"/>
      <c r="P343" s="221"/>
    </row>
    <row r="344" ht="15.75" customHeight="1">
      <c r="O344" s="220"/>
      <c r="P344" s="221"/>
    </row>
    <row r="345" ht="15.75" customHeight="1">
      <c r="O345" s="220"/>
      <c r="P345" s="221"/>
    </row>
    <row r="346" ht="15.75" customHeight="1">
      <c r="O346" s="220"/>
      <c r="P346" s="221"/>
    </row>
    <row r="347" ht="15.75" customHeight="1">
      <c r="O347" s="220"/>
      <c r="P347" s="221"/>
    </row>
    <row r="348" ht="15.75" customHeight="1">
      <c r="O348" s="220"/>
      <c r="P348" s="221"/>
    </row>
    <row r="349" ht="15.75" customHeight="1">
      <c r="O349" s="220"/>
      <c r="P349" s="221"/>
    </row>
    <row r="350" ht="15.75" customHeight="1">
      <c r="O350" s="220"/>
      <c r="P350" s="221"/>
    </row>
    <row r="351" ht="15.75" customHeight="1">
      <c r="O351" s="220"/>
      <c r="P351" s="221"/>
    </row>
    <row r="352" ht="15.75" customHeight="1">
      <c r="O352" s="220"/>
      <c r="P352" s="221"/>
    </row>
    <row r="353" ht="15.75" customHeight="1">
      <c r="O353" s="220"/>
      <c r="P353" s="221"/>
    </row>
    <row r="354" ht="15.75" customHeight="1">
      <c r="O354" s="220"/>
      <c r="P354" s="221"/>
    </row>
    <row r="355" ht="15.75" customHeight="1">
      <c r="O355" s="220"/>
      <c r="P355" s="221"/>
    </row>
    <row r="356" ht="15.75" customHeight="1">
      <c r="O356" s="220"/>
      <c r="P356" s="221"/>
    </row>
    <row r="357" ht="15.75" customHeight="1">
      <c r="O357" s="220"/>
      <c r="P357" s="221"/>
    </row>
    <row r="358" ht="15.75" customHeight="1">
      <c r="O358" s="220"/>
      <c r="P358" s="221"/>
    </row>
    <row r="359" ht="15.75" customHeight="1">
      <c r="O359" s="220"/>
      <c r="P359" s="221"/>
    </row>
    <row r="360" ht="15.75" customHeight="1">
      <c r="O360" s="220"/>
      <c r="P360" s="221"/>
    </row>
    <row r="361" ht="15.75" customHeight="1">
      <c r="O361" s="220"/>
      <c r="P361" s="221"/>
    </row>
    <row r="362" ht="15.75" customHeight="1">
      <c r="O362" s="220"/>
      <c r="P362" s="221"/>
    </row>
    <row r="363" ht="15.75" customHeight="1">
      <c r="O363" s="220"/>
      <c r="P363" s="221"/>
    </row>
    <row r="364" ht="15.75" customHeight="1">
      <c r="O364" s="220"/>
      <c r="P364" s="221"/>
    </row>
    <row r="365" ht="15.75" customHeight="1">
      <c r="O365" s="220"/>
      <c r="P365" s="221"/>
    </row>
    <row r="366" ht="15.75" customHeight="1">
      <c r="O366" s="220"/>
      <c r="P366" s="221"/>
    </row>
    <row r="367" ht="15.75" customHeight="1">
      <c r="O367" s="220"/>
      <c r="P367" s="221"/>
    </row>
    <row r="368" ht="15.75" customHeight="1">
      <c r="O368" s="220"/>
      <c r="P368" s="221"/>
    </row>
    <row r="369" ht="15.75" customHeight="1">
      <c r="O369" s="220"/>
      <c r="P369" s="221"/>
    </row>
    <row r="370" ht="15.75" customHeight="1">
      <c r="O370" s="220"/>
      <c r="P370" s="221"/>
    </row>
    <row r="371" ht="15.75" customHeight="1">
      <c r="O371" s="220"/>
      <c r="P371" s="221"/>
    </row>
    <row r="372" ht="15.75" customHeight="1">
      <c r="O372" s="220"/>
      <c r="P372" s="221"/>
    </row>
    <row r="373" ht="15.75" customHeight="1">
      <c r="O373" s="220"/>
      <c r="P373" s="221"/>
    </row>
    <row r="374" ht="15.75" customHeight="1">
      <c r="O374" s="220"/>
      <c r="P374" s="221"/>
    </row>
    <row r="375" ht="15.75" customHeight="1">
      <c r="O375" s="220"/>
      <c r="P375" s="221"/>
    </row>
    <row r="376" ht="15.75" customHeight="1">
      <c r="O376" s="220"/>
      <c r="P376" s="221"/>
    </row>
    <row r="377" ht="15.75" customHeight="1">
      <c r="O377" s="220"/>
      <c r="P377" s="221"/>
    </row>
    <row r="378" ht="15.75" customHeight="1">
      <c r="O378" s="220"/>
      <c r="P378" s="221"/>
    </row>
    <row r="379" ht="15.75" customHeight="1">
      <c r="O379" s="220"/>
      <c r="P379" s="221"/>
    </row>
    <row r="380" ht="15.75" customHeight="1">
      <c r="O380" s="220"/>
      <c r="P380" s="221"/>
    </row>
    <row r="381" ht="15.75" customHeight="1">
      <c r="O381" s="220"/>
      <c r="P381" s="221"/>
    </row>
    <row r="382" ht="15.75" customHeight="1">
      <c r="O382" s="220"/>
      <c r="P382" s="221"/>
    </row>
    <row r="383" ht="15.75" customHeight="1">
      <c r="O383" s="220"/>
      <c r="P383" s="221"/>
    </row>
    <row r="384" ht="15.75" customHeight="1">
      <c r="O384" s="220"/>
      <c r="P384" s="221"/>
    </row>
    <row r="385" ht="15.75" customHeight="1">
      <c r="O385" s="220"/>
      <c r="P385" s="221"/>
    </row>
    <row r="386" ht="15.75" customHeight="1">
      <c r="O386" s="220"/>
      <c r="P386" s="221"/>
    </row>
    <row r="387" ht="15.75" customHeight="1">
      <c r="O387" s="220"/>
      <c r="P387" s="221"/>
    </row>
    <row r="388" ht="15.75" customHeight="1">
      <c r="O388" s="220"/>
      <c r="P388" s="221"/>
    </row>
    <row r="389" ht="15.75" customHeight="1">
      <c r="O389" s="220"/>
      <c r="P389" s="221"/>
    </row>
    <row r="390" ht="15.75" customHeight="1">
      <c r="O390" s="220"/>
      <c r="P390" s="221"/>
    </row>
    <row r="391" ht="15.75" customHeight="1">
      <c r="O391" s="220"/>
      <c r="P391" s="221"/>
    </row>
    <row r="392" ht="15.75" customHeight="1">
      <c r="O392" s="220"/>
      <c r="P392" s="221"/>
    </row>
    <row r="393" ht="15.75" customHeight="1">
      <c r="O393" s="220"/>
      <c r="P393" s="221"/>
    </row>
    <row r="394" ht="15.75" customHeight="1">
      <c r="O394" s="220"/>
      <c r="P394" s="221"/>
    </row>
    <row r="395" ht="15.75" customHeight="1">
      <c r="O395" s="220"/>
      <c r="P395" s="221"/>
    </row>
    <row r="396" ht="15.75" customHeight="1">
      <c r="O396" s="220"/>
      <c r="P396" s="221"/>
    </row>
    <row r="397" ht="15.75" customHeight="1">
      <c r="O397" s="220"/>
      <c r="P397" s="221"/>
    </row>
    <row r="398" ht="15.75" customHeight="1">
      <c r="O398" s="220"/>
      <c r="P398" s="221"/>
    </row>
    <row r="399" ht="15.75" customHeight="1">
      <c r="O399" s="220"/>
      <c r="P399" s="221"/>
    </row>
    <row r="400" ht="15.75" customHeight="1">
      <c r="O400" s="220"/>
      <c r="P400" s="221"/>
    </row>
    <row r="401" ht="15.75" customHeight="1">
      <c r="O401" s="220"/>
      <c r="P401" s="221"/>
    </row>
    <row r="402" ht="15.75" customHeight="1">
      <c r="O402" s="220"/>
      <c r="P402" s="221"/>
    </row>
    <row r="403" ht="15.75" customHeight="1">
      <c r="O403" s="220"/>
      <c r="P403" s="221"/>
    </row>
    <row r="404" ht="15.75" customHeight="1">
      <c r="O404" s="220"/>
      <c r="P404" s="221"/>
    </row>
    <row r="405" ht="15.75" customHeight="1">
      <c r="O405" s="220"/>
      <c r="P405" s="221"/>
    </row>
    <row r="406" ht="15.75" customHeight="1">
      <c r="O406" s="220"/>
      <c r="P406" s="221"/>
    </row>
    <row r="407" ht="15.75" customHeight="1">
      <c r="O407" s="220"/>
      <c r="P407" s="221"/>
    </row>
    <row r="408" ht="15.75" customHeight="1">
      <c r="O408" s="220"/>
      <c r="P408" s="221"/>
    </row>
    <row r="409" ht="15.75" customHeight="1">
      <c r="O409" s="220"/>
      <c r="P409" s="221"/>
    </row>
    <row r="410" ht="15.75" customHeight="1">
      <c r="O410" s="220"/>
      <c r="P410" s="221"/>
    </row>
    <row r="411" ht="15.75" customHeight="1">
      <c r="O411" s="220"/>
      <c r="P411" s="221"/>
    </row>
    <row r="412" ht="15.75" customHeight="1">
      <c r="O412" s="220"/>
      <c r="P412" s="221"/>
    </row>
    <row r="413" ht="15.75" customHeight="1">
      <c r="O413" s="220"/>
      <c r="P413" s="221"/>
    </row>
    <row r="414" ht="15.75" customHeight="1">
      <c r="O414" s="220"/>
      <c r="P414" s="221"/>
    </row>
    <row r="415" ht="15.75" customHeight="1">
      <c r="O415" s="220"/>
      <c r="P415" s="221"/>
    </row>
    <row r="416" ht="15.75" customHeight="1">
      <c r="O416" s="220"/>
      <c r="P416" s="221"/>
    </row>
    <row r="417" ht="15.75" customHeight="1">
      <c r="O417" s="220"/>
      <c r="P417" s="221"/>
    </row>
    <row r="418" ht="15.75" customHeight="1">
      <c r="O418" s="220"/>
      <c r="P418" s="221"/>
    </row>
    <row r="419" ht="15.75" customHeight="1">
      <c r="O419" s="220"/>
      <c r="P419" s="221"/>
    </row>
    <row r="420" ht="15.75" customHeight="1">
      <c r="O420" s="220"/>
      <c r="P420" s="221"/>
    </row>
    <row r="421" ht="15.75" customHeight="1">
      <c r="O421" s="220"/>
      <c r="P421" s="221"/>
    </row>
    <row r="422" ht="15.75" customHeight="1">
      <c r="O422" s="220"/>
      <c r="P422" s="221"/>
    </row>
    <row r="423" ht="15.75" customHeight="1">
      <c r="O423" s="220"/>
      <c r="P423" s="221"/>
    </row>
    <row r="424" ht="15.75" customHeight="1">
      <c r="O424" s="220"/>
      <c r="P424" s="221"/>
    </row>
    <row r="425" ht="15.75" customHeight="1">
      <c r="O425" s="220"/>
      <c r="P425" s="221"/>
    </row>
    <row r="426" ht="15.75" customHeight="1">
      <c r="O426" s="220"/>
      <c r="P426" s="221"/>
    </row>
    <row r="427" ht="15.75" customHeight="1">
      <c r="O427" s="220"/>
      <c r="P427" s="221"/>
    </row>
    <row r="428" ht="15.75" customHeight="1">
      <c r="O428" s="220"/>
      <c r="P428" s="221"/>
    </row>
    <row r="429" ht="15.75" customHeight="1">
      <c r="O429" s="220"/>
      <c r="P429" s="221"/>
    </row>
    <row r="430" ht="15.75" customHeight="1">
      <c r="O430" s="220"/>
      <c r="P430" s="221"/>
    </row>
    <row r="431" ht="15.75" customHeight="1">
      <c r="O431" s="220"/>
      <c r="P431" s="221"/>
    </row>
    <row r="432" ht="15.75" customHeight="1">
      <c r="O432" s="220"/>
      <c r="P432" s="221"/>
    </row>
    <row r="433" ht="15.75" customHeight="1">
      <c r="O433" s="220"/>
      <c r="P433" s="221"/>
    </row>
    <row r="434" ht="15.75" customHeight="1">
      <c r="O434" s="220"/>
      <c r="P434" s="221"/>
    </row>
    <row r="435" ht="15.75" customHeight="1">
      <c r="O435" s="220"/>
      <c r="P435" s="221"/>
    </row>
    <row r="436" ht="15.75" customHeight="1">
      <c r="O436" s="220"/>
      <c r="P436" s="221"/>
    </row>
    <row r="437" ht="15.75" customHeight="1">
      <c r="O437" s="220"/>
      <c r="P437" s="221"/>
    </row>
    <row r="438" ht="15.75" customHeight="1">
      <c r="O438" s="220"/>
      <c r="P438" s="221"/>
    </row>
    <row r="439" ht="15.75" customHeight="1">
      <c r="O439" s="220"/>
      <c r="P439" s="221"/>
    </row>
    <row r="440" ht="15.75" customHeight="1">
      <c r="O440" s="220"/>
      <c r="P440" s="221"/>
    </row>
    <row r="441" ht="15.75" customHeight="1">
      <c r="O441" s="220"/>
      <c r="P441" s="221"/>
    </row>
    <row r="442" ht="15.75" customHeight="1">
      <c r="O442" s="220"/>
      <c r="P442" s="221"/>
    </row>
    <row r="443" ht="15.75" customHeight="1">
      <c r="O443" s="220"/>
      <c r="P443" s="221"/>
    </row>
    <row r="444" ht="15.75" customHeight="1">
      <c r="O444" s="220"/>
      <c r="P444" s="221"/>
    </row>
    <row r="445" ht="15.75" customHeight="1">
      <c r="O445" s="220"/>
      <c r="P445" s="221"/>
    </row>
    <row r="446" ht="15.75" customHeight="1">
      <c r="O446" s="220"/>
      <c r="P446" s="221"/>
    </row>
    <row r="447" ht="15.75" customHeight="1">
      <c r="O447" s="220"/>
      <c r="P447" s="221"/>
    </row>
    <row r="448" ht="15.75" customHeight="1">
      <c r="O448" s="220"/>
      <c r="P448" s="221"/>
    </row>
    <row r="449" ht="15.75" customHeight="1">
      <c r="O449" s="220"/>
      <c r="P449" s="221"/>
    </row>
    <row r="450" ht="15.75" customHeight="1">
      <c r="O450" s="220"/>
      <c r="P450" s="221"/>
    </row>
    <row r="451" ht="15.75" customHeight="1">
      <c r="O451" s="220"/>
      <c r="P451" s="221"/>
    </row>
    <row r="452" ht="15.75" customHeight="1">
      <c r="O452" s="220"/>
      <c r="P452" s="221"/>
    </row>
    <row r="453" ht="15.75" customHeight="1">
      <c r="O453" s="220"/>
      <c r="P453" s="221"/>
    </row>
    <row r="454" ht="15.75" customHeight="1">
      <c r="O454" s="220"/>
      <c r="P454" s="221"/>
    </row>
    <row r="455" ht="15.75" customHeight="1">
      <c r="O455" s="220"/>
      <c r="P455" s="221"/>
    </row>
    <row r="456" ht="15.75" customHeight="1">
      <c r="O456" s="220"/>
      <c r="P456" s="221"/>
    </row>
    <row r="457" ht="15.75" customHeight="1">
      <c r="O457" s="220"/>
      <c r="P457" s="221"/>
    </row>
    <row r="458" ht="15.75" customHeight="1">
      <c r="O458" s="220"/>
      <c r="P458" s="221"/>
    </row>
    <row r="459" ht="15.75" customHeight="1">
      <c r="O459" s="220"/>
      <c r="P459" s="221"/>
    </row>
    <row r="460" ht="15.75" customHeight="1">
      <c r="O460" s="220"/>
      <c r="P460" s="221"/>
    </row>
    <row r="461" ht="15.75" customHeight="1">
      <c r="O461" s="220"/>
      <c r="P461" s="221"/>
    </row>
    <row r="462" ht="15.75" customHeight="1">
      <c r="O462" s="220"/>
      <c r="P462" s="221"/>
    </row>
    <row r="463" ht="15.75" customHeight="1">
      <c r="O463" s="220"/>
      <c r="P463" s="221"/>
    </row>
    <row r="464" ht="15.75" customHeight="1">
      <c r="O464" s="220"/>
      <c r="P464" s="221"/>
    </row>
    <row r="465" ht="15.75" customHeight="1">
      <c r="O465" s="220"/>
      <c r="P465" s="221"/>
    </row>
    <row r="466" ht="15.75" customHeight="1">
      <c r="O466" s="220"/>
      <c r="P466" s="221"/>
    </row>
    <row r="467" ht="15.75" customHeight="1">
      <c r="O467" s="220"/>
      <c r="P467" s="221"/>
    </row>
    <row r="468" ht="15.75" customHeight="1">
      <c r="O468" s="220"/>
      <c r="P468" s="221"/>
    </row>
    <row r="469" ht="15.75" customHeight="1">
      <c r="O469" s="220"/>
      <c r="P469" s="221"/>
    </row>
    <row r="470" ht="15.75" customHeight="1">
      <c r="O470" s="220"/>
      <c r="P470" s="221"/>
    </row>
    <row r="471" ht="15.75" customHeight="1">
      <c r="O471" s="220"/>
      <c r="P471" s="221"/>
    </row>
    <row r="472" ht="15.75" customHeight="1">
      <c r="O472" s="220"/>
      <c r="P472" s="221"/>
    </row>
    <row r="473" ht="15.75" customHeight="1">
      <c r="O473" s="220"/>
      <c r="P473" s="221"/>
    </row>
    <row r="474" ht="15.75" customHeight="1">
      <c r="O474" s="220"/>
      <c r="P474" s="221"/>
    </row>
    <row r="475" ht="15.75" customHeight="1">
      <c r="O475" s="220"/>
      <c r="P475" s="221"/>
    </row>
    <row r="476" ht="15.75" customHeight="1">
      <c r="O476" s="220"/>
      <c r="P476" s="221"/>
    </row>
    <row r="477" ht="15.75" customHeight="1">
      <c r="O477" s="220"/>
      <c r="P477" s="221"/>
    </row>
    <row r="478" ht="15.75" customHeight="1">
      <c r="O478" s="220"/>
      <c r="P478" s="221"/>
    </row>
    <row r="479" ht="15.75" customHeight="1">
      <c r="O479" s="220"/>
      <c r="P479" s="221"/>
    </row>
    <row r="480" ht="15.75" customHeight="1">
      <c r="O480" s="220"/>
      <c r="P480" s="221"/>
    </row>
    <row r="481" ht="15.75" customHeight="1">
      <c r="O481" s="220"/>
      <c r="P481" s="221"/>
    </row>
    <row r="482" ht="15.75" customHeight="1">
      <c r="O482" s="220"/>
      <c r="P482" s="221"/>
    </row>
    <row r="483" ht="15.75" customHeight="1">
      <c r="O483" s="220"/>
      <c r="P483" s="221"/>
    </row>
    <row r="484" ht="15.75" customHeight="1">
      <c r="O484" s="220"/>
      <c r="P484" s="221"/>
    </row>
    <row r="485" ht="15.75" customHeight="1">
      <c r="O485" s="220"/>
      <c r="P485" s="221"/>
    </row>
    <row r="486" ht="15.75" customHeight="1">
      <c r="O486" s="220"/>
      <c r="P486" s="221"/>
    </row>
    <row r="487" ht="15.75" customHeight="1">
      <c r="O487" s="220"/>
      <c r="P487" s="221"/>
    </row>
    <row r="488" ht="15.75" customHeight="1">
      <c r="O488" s="220"/>
      <c r="P488" s="221"/>
    </row>
    <row r="489" ht="15.75" customHeight="1">
      <c r="O489" s="220"/>
      <c r="P489" s="221"/>
    </row>
    <row r="490" ht="15.75" customHeight="1">
      <c r="O490" s="220"/>
      <c r="P490" s="221"/>
    </row>
    <row r="491" ht="15.75" customHeight="1">
      <c r="O491" s="220"/>
      <c r="P491" s="221"/>
    </row>
    <row r="492" ht="15.75" customHeight="1">
      <c r="O492" s="220"/>
      <c r="P492" s="221"/>
    </row>
    <row r="493" ht="15.75" customHeight="1">
      <c r="O493" s="220"/>
      <c r="P493" s="221"/>
    </row>
    <row r="494" ht="15.75" customHeight="1">
      <c r="O494" s="220"/>
      <c r="P494" s="221"/>
    </row>
    <row r="495" ht="15.75" customHeight="1">
      <c r="O495" s="220"/>
      <c r="P495" s="221"/>
    </row>
    <row r="496" ht="15.75" customHeight="1">
      <c r="O496" s="220"/>
      <c r="P496" s="221"/>
    </row>
    <row r="497" ht="15.75" customHeight="1">
      <c r="O497" s="220"/>
      <c r="P497" s="221"/>
    </row>
    <row r="498" ht="15.75" customHeight="1">
      <c r="O498" s="220"/>
      <c r="P498" s="221"/>
    </row>
    <row r="499" ht="15.75" customHeight="1">
      <c r="O499" s="220"/>
      <c r="P499" s="221"/>
    </row>
    <row r="500" ht="15.75" customHeight="1">
      <c r="O500" s="220"/>
      <c r="P500" s="221"/>
    </row>
    <row r="501" ht="15.75" customHeight="1">
      <c r="O501" s="220"/>
      <c r="P501" s="221"/>
    </row>
    <row r="502" ht="15.75" customHeight="1">
      <c r="O502" s="220"/>
      <c r="P502" s="221"/>
    </row>
    <row r="503" ht="15.75" customHeight="1">
      <c r="O503" s="220"/>
      <c r="P503" s="221"/>
    </row>
    <row r="504" ht="15.75" customHeight="1">
      <c r="O504" s="220"/>
      <c r="P504" s="221"/>
    </row>
    <row r="505" ht="15.75" customHeight="1">
      <c r="O505" s="220"/>
      <c r="P505" s="221"/>
    </row>
    <row r="506" ht="15.75" customHeight="1">
      <c r="O506" s="220"/>
      <c r="P506" s="221"/>
    </row>
    <row r="507" ht="15.75" customHeight="1">
      <c r="O507" s="220"/>
      <c r="P507" s="221"/>
    </row>
    <row r="508" ht="15.75" customHeight="1">
      <c r="O508" s="220"/>
      <c r="P508" s="221"/>
    </row>
    <row r="509" ht="15.75" customHeight="1">
      <c r="O509" s="220"/>
      <c r="P509" s="221"/>
    </row>
    <row r="510" ht="15.75" customHeight="1">
      <c r="O510" s="220"/>
      <c r="P510" s="221"/>
    </row>
    <row r="511" ht="15.75" customHeight="1">
      <c r="O511" s="220"/>
      <c r="P511" s="221"/>
    </row>
    <row r="512" ht="15.75" customHeight="1">
      <c r="O512" s="220"/>
      <c r="P512" s="221"/>
    </row>
    <row r="513" ht="15.75" customHeight="1">
      <c r="O513" s="220"/>
      <c r="P513" s="221"/>
    </row>
    <row r="514" ht="15.75" customHeight="1">
      <c r="O514" s="220"/>
      <c r="P514" s="221"/>
    </row>
    <row r="515" ht="15.75" customHeight="1">
      <c r="O515" s="220"/>
      <c r="P515" s="221"/>
    </row>
    <row r="516" ht="15.75" customHeight="1">
      <c r="O516" s="220"/>
      <c r="P516" s="221"/>
    </row>
    <row r="517" ht="15.75" customHeight="1">
      <c r="O517" s="220"/>
      <c r="P517" s="221"/>
    </row>
    <row r="518" ht="15.75" customHeight="1">
      <c r="O518" s="220"/>
      <c r="P518" s="221"/>
    </row>
    <row r="519" ht="15.75" customHeight="1">
      <c r="O519" s="220"/>
      <c r="P519" s="221"/>
    </row>
    <row r="520" ht="15.75" customHeight="1">
      <c r="O520" s="220"/>
      <c r="P520" s="221"/>
    </row>
    <row r="521" ht="15.75" customHeight="1">
      <c r="O521" s="220"/>
      <c r="P521" s="221"/>
    </row>
    <row r="522" ht="15.75" customHeight="1">
      <c r="O522" s="220"/>
      <c r="P522" s="221"/>
    </row>
    <row r="523" ht="15.75" customHeight="1">
      <c r="O523" s="220"/>
      <c r="P523" s="221"/>
    </row>
    <row r="524" ht="15.75" customHeight="1">
      <c r="O524" s="220"/>
      <c r="P524" s="221"/>
    </row>
    <row r="525" ht="15.75" customHeight="1">
      <c r="O525" s="220"/>
      <c r="P525" s="221"/>
    </row>
    <row r="526" ht="15.75" customHeight="1">
      <c r="O526" s="220"/>
      <c r="P526" s="221"/>
    </row>
    <row r="527" ht="15.75" customHeight="1">
      <c r="O527" s="220"/>
      <c r="P527" s="221"/>
    </row>
    <row r="528" ht="15.75" customHeight="1">
      <c r="O528" s="220"/>
      <c r="P528" s="221"/>
    </row>
    <row r="529" ht="15.75" customHeight="1">
      <c r="O529" s="220"/>
      <c r="P529" s="221"/>
    </row>
    <row r="530" ht="15.75" customHeight="1">
      <c r="O530" s="220"/>
      <c r="P530" s="221"/>
    </row>
    <row r="531" ht="15.75" customHeight="1">
      <c r="O531" s="220"/>
      <c r="P531" s="221"/>
    </row>
    <row r="532" ht="15.75" customHeight="1">
      <c r="O532" s="220"/>
      <c r="P532" s="221"/>
    </row>
    <row r="533" ht="15.75" customHeight="1">
      <c r="O533" s="220"/>
      <c r="P533" s="221"/>
    </row>
    <row r="534" ht="15.75" customHeight="1">
      <c r="O534" s="220"/>
      <c r="P534" s="221"/>
    </row>
    <row r="535" ht="15.75" customHeight="1">
      <c r="O535" s="220"/>
      <c r="P535" s="221"/>
    </row>
    <row r="536" ht="15.75" customHeight="1">
      <c r="O536" s="220"/>
      <c r="P536" s="221"/>
    </row>
    <row r="537" ht="15.75" customHeight="1">
      <c r="O537" s="220"/>
      <c r="P537" s="221"/>
    </row>
    <row r="538" ht="15.75" customHeight="1">
      <c r="O538" s="220"/>
      <c r="P538" s="221"/>
    </row>
    <row r="539" ht="15.75" customHeight="1">
      <c r="O539" s="220"/>
      <c r="P539" s="221"/>
    </row>
    <row r="540" ht="15.75" customHeight="1">
      <c r="O540" s="220"/>
      <c r="P540" s="221"/>
    </row>
    <row r="541" ht="15.75" customHeight="1">
      <c r="O541" s="220"/>
      <c r="P541" s="221"/>
    </row>
    <row r="542" ht="15.75" customHeight="1">
      <c r="O542" s="220"/>
      <c r="P542" s="221"/>
    </row>
    <row r="543" ht="15.75" customHeight="1">
      <c r="O543" s="220"/>
      <c r="P543" s="221"/>
    </row>
    <row r="544" ht="15.75" customHeight="1">
      <c r="O544" s="220"/>
      <c r="P544" s="221"/>
    </row>
    <row r="545" ht="15.75" customHeight="1">
      <c r="O545" s="220"/>
      <c r="P545" s="221"/>
    </row>
    <row r="546" ht="15.75" customHeight="1">
      <c r="O546" s="220"/>
      <c r="P546" s="221"/>
    </row>
    <row r="547" ht="15.75" customHeight="1">
      <c r="O547" s="220"/>
      <c r="P547" s="221"/>
    </row>
    <row r="548" ht="15.75" customHeight="1">
      <c r="O548" s="220"/>
      <c r="P548" s="221"/>
    </row>
    <row r="549" ht="15.75" customHeight="1">
      <c r="O549" s="220"/>
      <c r="P549" s="221"/>
    </row>
    <row r="550" ht="15.75" customHeight="1">
      <c r="O550" s="220"/>
      <c r="P550" s="221"/>
    </row>
    <row r="551" ht="15.75" customHeight="1">
      <c r="O551" s="220"/>
      <c r="P551" s="221"/>
    </row>
    <row r="552" ht="15.75" customHeight="1">
      <c r="O552" s="220"/>
      <c r="P552" s="221"/>
    </row>
    <row r="553" ht="15.75" customHeight="1">
      <c r="O553" s="220"/>
      <c r="P553" s="221"/>
    </row>
    <row r="554" ht="15.75" customHeight="1">
      <c r="O554" s="220"/>
      <c r="P554" s="221"/>
    </row>
    <row r="555" ht="15.75" customHeight="1">
      <c r="O555" s="220"/>
      <c r="P555" s="221"/>
    </row>
    <row r="556" ht="15.75" customHeight="1">
      <c r="O556" s="220"/>
      <c r="P556" s="221"/>
    </row>
    <row r="557" ht="15.75" customHeight="1">
      <c r="O557" s="220"/>
      <c r="P557" s="221"/>
    </row>
    <row r="558" ht="15.75" customHeight="1">
      <c r="O558" s="220"/>
      <c r="P558" s="221"/>
    </row>
    <row r="559" ht="15.75" customHeight="1">
      <c r="O559" s="220"/>
      <c r="P559" s="221"/>
    </row>
    <row r="560" ht="15.75" customHeight="1">
      <c r="O560" s="220"/>
      <c r="P560" s="221"/>
    </row>
    <row r="561" ht="15.75" customHeight="1">
      <c r="O561" s="220"/>
      <c r="P561" s="221"/>
    </row>
    <row r="562" ht="15.75" customHeight="1">
      <c r="O562" s="220"/>
      <c r="P562" s="221"/>
    </row>
    <row r="563" ht="15.75" customHeight="1">
      <c r="O563" s="220"/>
      <c r="P563" s="221"/>
    </row>
    <row r="564" ht="15.75" customHeight="1">
      <c r="O564" s="220"/>
      <c r="P564" s="221"/>
    </row>
    <row r="565" ht="15.75" customHeight="1">
      <c r="O565" s="220"/>
      <c r="P565" s="221"/>
    </row>
    <row r="566" ht="15.75" customHeight="1">
      <c r="O566" s="220"/>
      <c r="P566" s="221"/>
    </row>
    <row r="567" ht="15.75" customHeight="1">
      <c r="O567" s="220"/>
      <c r="P567" s="221"/>
    </row>
    <row r="568" ht="15.75" customHeight="1">
      <c r="O568" s="220"/>
      <c r="P568" s="221"/>
    </row>
    <row r="569" ht="15.75" customHeight="1">
      <c r="O569" s="220"/>
      <c r="P569" s="221"/>
    </row>
    <row r="570" ht="15.75" customHeight="1">
      <c r="O570" s="220"/>
      <c r="P570" s="221"/>
    </row>
    <row r="571" ht="15.75" customHeight="1">
      <c r="O571" s="220"/>
      <c r="P571" s="221"/>
    </row>
    <row r="572" ht="15.75" customHeight="1">
      <c r="O572" s="220"/>
      <c r="P572" s="221"/>
    </row>
    <row r="573" ht="15.75" customHeight="1">
      <c r="O573" s="220"/>
      <c r="P573" s="221"/>
    </row>
    <row r="574" ht="15.75" customHeight="1">
      <c r="O574" s="220"/>
      <c r="P574" s="221"/>
    </row>
    <row r="575" ht="15.75" customHeight="1">
      <c r="O575" s="220"/>
      <c r="P575" s="221"/>
    </row>
    <row r="576" ht="15.75" customHeight="1">
      <c r="O576" s="220"/>
      <c r="P576" s="221"/>
    </row>
    <row r="577" ht="15.75" customHeight="1">
      <c r="O577" s="220"/>
      <c r="P577" s="221"/>
    </row>
    <row r="578" ht="15.75" customHeight="1">
      <c r="O578" s="220"/>
      <c r="P578" s="221"/>
    </row>
    <row r="579" ht="15.75" customHeight="1">
      <c r="O579" s="220"/>
      <c r="P579" s="221"/>
    </row>
    <row r="580" ht="15.75" customHeight="1">
      <c r="O580" s="220"/>
      <c r="P580" s="221"/>
    </row>
    <row r="581" ht="15.75" customHeight="1">
      <c r="O581" s="220"/>
      <c r="P581" s="221"/>
    </row>
    <row r="582" ht="15.75" customHeight="1">
      <c r="O582" s="220"/>
      <c r="P582" s="221"/>
    </row>
    <row r="583" ht="15.75" customHeight="1">
      <c r="O583" s="220"/>
      <c r="P583" s="221"/>
    </row>
    <row r="584" ht="15.75" customHeight="1">
      <c r="O584" s="220"/>
      <c r="P584" s="221"/>
    </row>
    <row r="585" ht="15.75" customHeight="1">
      <c r="O585" s="220"/>
      <c r="P585" s="221"/>
    </row>
    <row r="586" ht="15.75" customHeight="1">
      <c r="O586" s="220"/>
      <c r="P586" s="221"/>
    </row>
    <row r="587" ht="15.75" customHeight="1">
      <c r="O587" s="220"/>
      <c r="P587" s="221"/>
    </row>
    <row r="588" ht="15.75" customHeight="1">
      <c r="O588" s="220"/>
      <c r="P588" s="221"/>
    </row>
    <row r="589" ht="15.75" customHeight="1">
      <c r="O589" s="220"/>
      <c r="P589" s="221"/>
    </row>
    <row r="590" ht="15.75" customHeight="1">
      <c r="O590" s="220"/>
      <c r="P590" s="221"/>
    </row>
    <row r="591" ht="15.75" customHeight="1">
      <c r="O591" s="220"/>
      <c r="P591" s="221"/>
    </row>
    <row r="592" ht="15.75" customHeight="1">
      <c r="O592" s="220"/>
      <c r="P592" s="221"/>
    </row>
    <row r="593" ht="15.75" customHeight="1">
      <c r="O593" s="220"/>
      <c r="P593" s="221"/>
    </row>
    <row r="594" ht="15.75" customHeight="1">
      <c r="O594" s="220"/>
      <c r="P594" s="221"/>
    </row>
    <row r="595" ht="15.75" customHeight="1">
      <c r="O595" s="220"/>
      <c r="P595" s="221"/>
    </row>
    <row r="596" ht="15.75" customHeight="1">
      <c r="O596" s="220"/>
      <c r="P596" s="221"/>
    </row>
    <row r="597" ht="15.75" customHeight="1">
      <c r="O597" s="220"/>
      <c r="P597" s="221"/>
    </row>
    <row r="598" ht="15.75" customHeight="1">
      <c r="O598" s="220"/>
      <c r="P598" s="221"/>
    </row>
    <row r="599" ht="15.75" customHeight="1">
      <c r="O599" s="220"/>
      <c r="P599" s="221"/>
    </row>
    <row r="600" ht="15.75" customHeight="1">
      <c r="O600" s="220"/>
      <c r="P600" s="221"/>
    </row>
    <row r="601" ht="15.75" customHeight="1">
      <c r="O601" s="220"/>
      <c r="P601" s="221"/>
    </row>
    <row r="602" ht="15.75" customHeight="1">
      <c r="O602" s="220"/>
      <c r="P602" s="221"/>
    </row>
    <row r="603" ht="15.75" customHeight="1">
      <c r="O603" s="220"/>
      <c r="P603" s="221"/>
    </row>
    <row r="604" ht="15.75" customHeight="1">
      <c r="O604" s="220"/>
      <c r="P604" s="221"/>
    </row>
    <row r="605" ht="15.75" customHeight="1">
      <c r="O605" s="220"/>
      <c r="P605" s="221"/>
    </row>
    <row r="606" ht="15.75" customHeight="1">
      <c r="O606" s="220"/>
      <c r="P606" s="221"/>
    </row>
    <row r="607" ht="15.75" customHeight="1">
      <c r="O607" s="220"/>
      <c r="P607" s="221"/>
    </row>
    <row r="608" ht="15.75" customHeight="1">
      <c r="O608" s="220"/>
      <c r="P608" s="221"/>
    </row>
    <row r="609" ht="15.75" customHeight="1">
      <c r="O609" s="220"/>
      <c r="P609" s="221"/>
    </row>
    <row r="610" ht="15.75" customHeight="1">
      <c r="O610" s="220"/>
      <c r="P610" s="221"/>
    </row>
    <row r="611" ht="15.75" customHeight="1">
      <c r="O611" s="220"/>
      <c r="P611" s="221"/>
    </row>
    <row r="612" ht="15.75" customHeight="1">
      <c r="O612" s="220"/>
      <c r="P612" s="221"/>
    </row>
    <row r="613" ht="15.75" customHeight="1">
      <c r="O613" s="220"/>
      <c r="P613" s="221"/>
    </row>
    <row r="614" ht="15.75" customHeight="1">
      <c r="O614" s="220"/>
      <c r="P614" s="221"/>
    </row>
    <row r="615" ht="15.75" customHeight="1">
      <c r="O615" s="220"/>
      <c r="P615" s="221"/>
    </row>
    <row r="616" ht="15.75" customHeight="1">
      <c r="O616" s="220"/>
      <c r="P616" s="221"/>
    </row>
    <row r="617" ht="15.75" customHeight="1">
      <c r="O617" s="220"/>
      <c r="P617" s="221"/>
    </row>
    <row r="618" ht="15.75" customHeight="1">
      <c r="O618" s="220"/>
      <c r="P618" s="221"/>
    </row>
    <row r="619" ht="15.75" customHeight="1">
      <c r="O619" s="220"/>
      <c r="P619" s="221"/>
    </row>
    <row r="620" ht="15.75" customHeight="1">
      <c r="O620" s="220"/>
      <c r="P620" s="221"/>
    </row>
    <row r="621" ht="15.75" customHeight="1">
      <c r="O621" s="220"/>
      <c r="P621" s="221"/>
    </row>
    <row r="622" ht="15.75" customHeight="1">
      <c r="O622" s="220"/>
      <c r="P622" s="221"/>
    </row>
    <row r="623" ht="15.75" customHeight="1">
      <c r="O623" s="220"/>
      <c r="P623" s="221"/>
    </row>
    <row r="624" ht="15.75" customHeight="1">
      <c r="O624" s="220"/>
      <c r="P624" s="221"/>
    </row>
    <row r="625" ht="15.75" customHeight="1">
      <c r="O625" s="220"/>
      <c r="P625" s="221"/>
    </row>
    <row r="626" ht="15.75" customHeight="1">
      <c r="O626" s="220"/>
      <c r="P626" s="221"/>
    </row>
    <row r="627" ht="15.75" customHeight="1">
      <c r="O627" s="220"/>
      <c r="P627" s="221"/>
    </row>
    <row r="628" ht="15.75" customHeight="1">
      <c r="O628" s="220"/>
      <c r="P628" s="221"/>
    </row>
    <row r="629" ht="15.75" customHeight="1">
      <c r="O629" s="220"/>
      <c r="P629" s="221"/>
    </row>
    <row r="630" ht="15.75" customHeight="1">
      <c r="O630" s="220"/>
      <c r="P630" s="221"/>
    </row>
    <row r="631" ht="15.75" customHeight="1">
      <c r="O631" s="220"/>
      <c r="P631" s="221"/>
    </row>
    <row r="632" ht="15.75" customHeight="1">
      <c r="O632" s="220"/>
      <c r="P632" s="221"/>
    </row>
    <row r="633" ht="15.75" customHeight="1">
      <c r="O633" s="220"/>
      <c r="P633" s="221"/>
    </row>
    <row r="634" ht="15.75" customHeight="1">
      <c r="O634" s="220"/>
      <c r="P634" s="221"/>
    </row>
    <row r="635" ht="15.75" customHeight="1">
      <c r="O635" s="220"/>
      <c r="P635" s="221"/>
    </row>
    <row r="636" ht="15.75" customHeight="1">
      <c r="O636" s="220"/>
      <c r="P636" s="221"/>
    </row>
    <row r="637" ht="15.75" customHeight="1">
      <c r="O637" s="220"/>
      <c r="P637" s="221"/>
    </row>
    <row r="638" ht="15.75" customHeight="1">
      <c r="O638" s="220"/>
      <c r="P638" s="221"/>
    </row>
    <row r="639" ht="15.75" customHeight="1">
      <c r="O639" s="220"/>
      <c r="P639" s="221"/>
    </row>
    <row r="640" ht="15.75" customHeight="1">
      <c r="O640" s="220"/>
      <c r="P640" s="221"/>
    </row>
    <row r="641" ht="15.75" customHeight="1">
      <c r="O641" s="220"/>
      <c r="P641" s="221"/>
    </row>
    <row r="642" ht="15.75" customHeight="1">
      <c r="O642" s="220"/>
      <c r="P642" s="221"/>
    </row>
    <row r="643" ht="15.75" customHeight="1">
      <c r="O643" s="220"/>
      <c r="P643" s="221"/>
    </row>
    <row r="644" ht="15.75" customHeight="1">
      <c r="O644" s="220"/>
      <c r="P644" s="221"/>
    </row>
    <row r="645" ht="15.75" customHeight="1">
      <c r="O645" s="220"/>
      <c r="P645" s="221"/>
    </row>
    <row r="646" ht="15.75" customHeight="1">
      <c r="O646" s="220"/>
      <c r="P646" s="221"/>
    </row>
    <row r="647" ht="15.75" customHeight="1">
      <c r="O647" s="220"/>
      <c r="P647" s="221"/>
    </row>
    <row r="648" ht="15.75" customHeight="1">
      <c r="O648" s="220"/>
      <c r="P648" s="221"/>
    </row>
    <row r="649" ht="15.75" customHeight="1">
      <c r="O649" s="220"/>
      <c r="P649" s="221"/>
    </row>
    <row r="650" ht="15.75" customHeight="1">
      <c r="O650" s="220"/>
      <c r="P650" s="221"/>
    </row>
    <row r="651" ht="15.75" customHeight="1">
      <c r="O651" s="220"/>
      <c r="P651" s="221"/>
    </row>
    <row r="652" ht="15.75" customHeight="1">
      <c r="O652" s="220"/>
      <c r="P652" s="221"/>
    </row>
    <row r="653" ht="15.75" customHeight="1">
      <c r="O653" s="220"/>
      <c r="P653" s="221"/>
    </row>
    <row r="654" ht="15.75" customHeight="1">
      <c r="O654" s="220"/>
      <c r="P654" s="221"/>
    </row>
    <row r="655" ht="15.75" customHeight="1">
      <c r="O655" s="220"/>
      <c r="P655" s="221"/>
    </row>
    <row r="656" ht="15.75" customHeight="1">
      <c r="O656" s="220"/>
      <c r="P656" s="221"/>
    </row>
    <row r="657" ht="15.75" customHeight="1">
      <c r="O657" s="220"/>
      <c r="P657" s="221"/>
    </row>
    <row r="658" ht="15.75" customHeight="1">
      <c r="O658" s="220"/>
      <c r="P658" s="221"/>
    </row>
    <row r="659" ht="15.75" customHeight="1">
      <c r="O659" s="220"/>
      <c r="P659" s="221"/>
    </row>
    <row r="660" ht="15.75" customHeight="1">
      <c r="O660" s="220"/>
      <c r="P660" s="221"/>
    </row>
    <row r="661" ht="15.75" customHeight="1">
      <c r="O661" s="220"/>
      <c r="P661" s="221"/>
    </row>
    <row r="662" ht="15.75" customHeight="1">
      <c r="O662" s="220"/>
      <c r="P662" s="221"/>
    </row>
    <row r="663" ht="15.75" customHeight="1">
      <c r="O663" s="220"/>
      <c r="P663" s="221"/>
    </row>
    <row r="664" ht="15.75" customHeight="1">
      <c r="O664" s="220"/>
      <c r="P664" s="221"/>
    </row>
    <row r="665" ht="15.75" customHeight="1">
      <c r="O665" s="220"/>
      <c r="P665" s="221"/>
    </row>
    <row r="666" ht="15.75" customHeight="1">
      <c r="O666" s="220"/>
      <c r="P666" s="221"/>
    </row>
    <row r="667" ht="15.75" customHeight="1">
      <c r="O667" s="220"/>
      <c r="P667" s="221"/>
    </row>
    <row r="668" ht="15.75" customHeight="1">
      <c r="O668" s="220"/>
      <c r="P668" s="221"/>
    </row>
    <row r="669" ht="15.75" customHeight="1">
      <c r="O669" s="220"/>
      <c r="P669" s="221"/>
    </row>
    <row r="670" ht="15.75" customHeight="1">
      <c r="O670" s="220"/>
      <c r="P670" s="221"/>
    </row>
    <row r="671" ht="15.75" customHeight="1">
      <c r="O671" s="220"/>
      <c r="P671" s="221"/>
    </row>
    <row r="672" ht="15.75" customHeight="1">
      <c r="O672" s="220"/>
      <c r="P672" s="221"/>
    </row>
    <row r="673" ht="15.75" customHeight="1">
      <c r="O673" s="220"/>
      <c r="P673" s="221"/>
    </row>
    <row r="674" ht="15.75" customHeight="1">
      <c r="O674" s="220"/>
      <c r="P674" s="221"/>
    </row>
    <row r="675" ht="15.75" customHeight="1">
      <c r="O675" s="220"/>
      <c r="P675" s="221"/>
    </row>
    <row r="676" ht="15.75" customHeight="1">
      <c r="O676" s="220"/>
      <c r="P676" s="221"/>
    </row>
    <row r="677" ht="15.75" customHeight="1">
      <c r="O677" s="220"/>
      <c r="P677" s="221"/>
    </row>
    <row r="678" ht="15.75" customHeight="1">
      <c r="O678" s="220"/>
      <c r="P678" s="221"/>
    </row>
    <row r="679" ht="15.75" customHeight="1">
      <c r="O679" s="220"/>
      <c r="P679" s="221"/>
    </row>
    <row r="680" ht="15.75" customHeight="1">
      <c r="O680" s="220"/>
      <c r="P680" s="221"/>
    </row>
    <row r="681" ht="15.75" customHeight="1">
      <c r="O681" s="220"/>
      <c r="P681" s="221"/>
    </row>
    <row r="682" ht="15.75" customHeight="1">
      <c r="O682" s="220"/>
      <c r="P682" s="221"/>
    </row>
    <row r="683" ht="15.75" customHeight="1">
      <c r="O683" s="220"/>
      <c r="P683" s="221"/>
    </row>
    <row r="684" ht="15.75" customHeight="1">
      <c r="O684" s="220"/>
      <c r="P684" s="221"/>
    </row>
    <row r="685" ht="15.75" customHeight="1">
      <c r="O685" s="220"/>
      <c r="P685" s="221"/>
    </row>
    <row r="686" ht="15.75" customHeight="1">
      <c r="O686" s="220"/>
      <c r="P686" s="221"/>
    </row>
    <row r="687" ht="15.75" customHeight="1">
      <c r="O687" s="220"/>
      <c r="P687" s="221"/>
    </row>
    <row r="688" ht="15.75" customHeight="1">
      <c r="O688" s="220"/>
      <c r="P688" s="221"/>
    </row>
    <row r="689" ht="15.75" customHeight="1">
      <c r="O689" s="220"/>
      <c r="P689" s="221"/>
    </row>
    <row r="690" ht="15.75" customHeight="1">
      <c r="O690" s="220"/>
      <c r="P690" s="221"/>
    </row>
    <row r="691" ht="15.75" customHeight="1">
      <c r="O691" s="220"/>
      <c r="P691" s="221"/>
    </row>
    <row r="692" ht="15.75" customHeight="1">
      <c r="O692" s="220"/>
      <c r="P692" s="221"/>
    </row>
    <row r="693" ht="15.75" customHeight="1">
      <c r="O693" s="220"/>
      <c r="P693" s="221"/>
    </row>
    <row r="694" ht="15.75" customHeight="1">
      <c r="O694" s="220"/>
      <c r="P694" s="221"/>
    </row>
    <row r="695" ht="15.75" customHeight="1">
      <c r="O695" s="220"/>
      <c r="P695" s="221"/>
    </row>
    <row r="696" ht="15.75" customHeight="1">
      <c r="O696" s="220"/>
      <c r="P696" s="221"/>
    </row>
    <row r="697" ht="15.75" customHeight="1">
      <c r="O697" s="220"/>
      <c r="P697" s="221"/>
    </row>
    <row r="698" ht="15.75" customHeight="1">
      <c r="O698" s="220"/>
      <c r="P698" s="221"/>
    </row>
    <row r="699" ht="15.75" customHeight="1">
      <c r="O699" s="220"/>
      <c r="P699" s="221"/>
    </row>
    <row r="700" ht="15.75" customHeight="1">
      <c r="O700" s="220"/>
      <c r="P700" s="221"/>
    </row>
    <row r="701" ht="15.75" customHeight="1">
      <c r="O701" s="220"/>
      <c r="P701" s="221"/>
    </row>
    <row r="702" ht="15.75" customHeight="1">
      <c r="O702" s="220"/>
      <c r="P702" s="221"/>
    </row>
    <row r="703" ht="15.75" customHeight="1">
      <c r="O703" s="220"/>
      <c r="P703" s="221"/>
    </row>
    <row r="704" ht="15.75" customHeight="1">
      <c r="O704" s="220"/>
      <c r="P704" s="221"/>
    </row>
    <row r="705" ht="15.75" customHeight="1">
      <c r="O705" s="220"/>
      <c r="P705" s="221"/>
    </row>
    <row r="706" ht="15.75" customHeight="1">
      <c r="O706" s="220"/>
      <c r="P706" s="221"/>
    </row>
    <row r="707" ht="15.75" customHeight="1">
      <c r="O707" s="220"/>
      <c r="P707" s="221"/>
    </row>
    <row r="708" ht="15.75" customHeight="1">
      <c r="O708" s="220"/>
      <c r="P708" s="221"/>
    </row>
    <row r="709" ht="15.75" customHeight="1">
      <c r="O709" s="220"/>
      <c r="P709" s="221"/>
    </row>
    <row r="710" ht="15.75" customHeight="1">
      <c r="O710" s="220"/>
      <c r="P710" s="221"/>
    </row>
    <row r="711" ht="15.75" customHeight="1">
      <c r="O711" s="220"/>
      <c r="P711" s="221"/>
    </row>
    <row r="712" ht="15.75" customHeight="1">
      <c r="O712" s="220"/>
      <c r="P712" s="221"/>
    </row>
    <row r="713" ht="15.75" customHeight="1">
      <c r="O713" s="220"/>
      <c r="P713" s="221"/>
    </row>
    <row r="714" ht="15.75" customHeight="1">
      <c r="O714" s="220"/>
      <c r="P714" s="221"/>
    </row>
    <row r="715" ht="15.75" customHeight="1">
      <c r="O715" s="220"/>
      <c r="P715" s="221"/>
    </row>
    <row r="716" ht="15.75" customHeight="1">
      <c r="O716" s="220"/>
      <c r="P716" s="221"/>
    </row>
    <row r="717" ht="15.75" customHeight="1">
      <c r="O717" s="220"/>
      <c r="P717" s="221"/>
    </row>
    <row r="718" ht="15.75" customHeight="1">
      <c r="O718" s="220"/>
      <c r="P718" s="221"/>
    </row>
    <row r="719" ht="15.75" customHeight="1">
      <c r="O719" s="220"/>
      <c r="P719" s="221"/>
    </row>
    <row r="720" ht="15.75" customHeight="1">
      <c r="O720" s="220"/>
      <c r="P720" s="221"/>
    </row>
    <row r="721" ht="15.75" customHeight="1">
      <c r="O721" s="220"/>
      <c r="P721" s="221"/>
    </row>
    <row r="722" ht="15.75" customHeight="1">
      <c r="O722" s="220"/>
      <c r="P722" s="221"/>
    </row>
    <row r="723" ht="15.75" customHeight="1">
      <c r="O723" s="220"/>
      <c r="P723" s="221"/>
    </row>
    <row r="724" ht="15.75" customHeight="1">
      <c r="O724" s="220"/>
      <c r="P724" s="221"/>
    </row>
    <row r="725" ht="15.75" customHeight="1">
      <c r="O725" s="220"/>
      <c r="P725" s="221"/>
    </row>
    <row r="726" ht="15.75" customHeight="1">
      <c r="O726" s="220"/>
      <c r="P726" s="221"/>
    </row>
    <row r="727" ht="15.75" customHeight="1">
      <c r="O727" s="220"/>
      <c r="P727" s="221"/>
    </row>
    <row r="728" ht="15.75" customHeight="1">
      <c r="O728" s="220"/>
      <c r="P728" s="221"/>
    </row>
    <row r="729" ht="15.75" customHeight="1">
      <c r="O729" s="220"/>
      <c r="P729" s="221"/>
    </row>
    <row r="730" ht="15.75" customHeight="1">
      <c r="O730" s="220"/>
      <c r="P730" s="221"/>
    </row>
    <row r="731" ht="15.75" customHeight="1">
      <c r="O731" s="220"/>
      <c r="P731" s="221"/>
    </row>
    <row r="732" ht="15.75" customHeight="1">
      <c r="O732" s="220"/>
      <c r="P732" s="221"/>
    </row>
    <row r="733" ht="15.75" customHeight="1">
      <c r="O733" s="220"/>
      <c r="P733" s="221"/>
    </row>
    <row r="734" ht="15.75" customHeight="1">
      <c r="O734" s="220"/>
      <c r="P734" s="221"/>
    </row>
    <row r="735" ht="15.75" customHeight="1">
      <c r="O735" s="220"/>
      <c r="P735" s="221"/>
    </row>
    <row r="736" ht="15.75" customHeight="1">
      <c r="O736" s="220"/>
      <c r="P736" s="221"/>
    </row>
    <row r="737" ht="15.75" customHeight="1">
      <c r="O737" s="220"/>
      <c r="P737" s="221"/>
    </row>
    <row r="738" ht="15.75" customHeight="1">
      <c r="O738" s="220"/>
      <c r="P738" s="221"/>
    </row>
    <row r="739" ht="15.75" customHeight="1">
      <c r="O739" s="220"/>
      <c r="P739" s="221"/>
    </row>
    <row r="740" ht="15.75" customHeight="1">
      <c r="O740" s="220"/>
      <c r="P740" s="221"/>
    </row>
    <row r="741" ht="15.75" customHeight="1">
      <c r="O741" s="220"/>
      <c r="P741" s="221"/>
    </row>
    <row r="742" ht="15.75" customHeight="1">
      <c r="O742" s="220"/>
      <c r="P742" s="221"/>
    </row>
    <row r="743" ht="15.75" customHeight="1">
      <c r="O743" s="220"/>
      <c r="P743" s="221"/>
    </row>
    <row r="744" ht="15.75" customHeight="1">
      <c r="O744" s="220"/>
      <c r="P744" s="221"/>
    </row>
    <row r="745" ht="15.75" customHeight="1">
      <c r="O745" s="220"/>
      <c r="P745" s="221"/>
    </row>
    <row r="746" ht="15.75" customHeight="1">
      <c r="O746" s="220"/>
      <c r="P746" s="221"/>
    </row>
    <row r="747" ht="15.75" customHeight="1">
      <c r="O747" s="220"/>
      <c r="P747" s="221"/>
    </row>
    <row r="748" ht="15.75" customHeight="1">
      <c r="O748" s="220"/>
      <c r="P748" s="221"/>
    </row>
    <row r="749" ht="15.75" customHeight="1">
      <c r="O749" s="220"/>
      <c r="P749" s="221"/>
    </row>
    <row r="750" ht="15.75" customHeight="1">
      <c r="O750" s="220"/>
      <c r="P750" s="221"/>
    </row>
    <row r="751" ht="15.75" customHeight="1">
      <c r="O751" s="220"/>
      <c r="P751" s="221"/>
    </row>
    <row r="752" ht="15.75" customHeight="1">
      <c r="O752" s="220"/>
      <c r="P752" s="221"/>
    </row>
    <row r="753" ht="15.75" customHeight="1">
      <c r="O753" s="220"/>
      <c r="P753" s="221"/>
    </row>
    <row r="754" ht="15.75" customHeight="1">
      <c r="O754" s="220"/>
      <c r="P754" s="221"/>
    </row>
    <row r="755" ht="15.75" customHeight="1">
      <c r="O755" s="220"/>
      <c r="P755" s="221"/>
    </row>
    <row r="756" ht="15.75" customHeight="1">
      <c r="O756" s="220"/>
      <c r="P756" s="221"/>
    </row>
    <row r="757" ht="15.75" customHeight="1">
      <c r="O757" s="220"/>
      <c r="P757" s="221"/>
    </row>
    <row r="758" ht="15.75" customHeight="1">
      <c r="O758" s="220"/>
      <c r="P758" s="221"/>
    </row>
    <row r="759" ht="15.75" customHeight="1">
      <c r="O759" s="220"/>
      <c r="P759" s="221"/>
    </row>
    <row r="760" ht="15.75" customHeight="1">
      <c r="O760" s="220"/>
      <c r="P760" s="221"/>
    </row>
    <row r="761" ht="15.75" customHeight="1">
      <c r="O761" s="220"/>
      <c r="P761" s="221"/>
    </row>
    <row r="762" ht="15.75" customHeight="1">
      <c r="O762" s="220"/>
      <c r="P762" s="221"/>
    </row>
    <row r="763" ht="15.75" customHeight="1">
      <c r="O763" s="220"/>
      <c r="P763" s="221"/>
    </row>
    <row r="764" ht="15.75" customHeight="1">
      <c r="O764" s="220"/>
      <c r="P764" s="221"/>
    </row>
    <row r="765" ht="15.75" customHeight="1">
      <c r="O765" s="220"/>
      <c r="P765" s="221"/>
    </row>
    <row r="766" ht="15.75" customHeight="1">
      <c r="O766" s="220"/>
      <c r="P766" s="221"/>
    </row>
    <row r="767" ht="15.75" customHeight="1">
      <c r="O767" s="220"/>
      <c r="P767" s="221"/>
    </row>
    <row r="768" ht="15.75" customHeight="1">
      <c r="O768" s="220"/>
      <c r="P768" s="221"/>
    </row>
    <row r="769" ht="15.75" customHeight="1">
      <c r="O769" s="220"/>
      <c r="P769" s="221"/>
    </row>
    <row r="770" ht="15.75" customHeight="1">
      <c r="O770" s="220"/>
      <c r="P770" s="221"/>
    </row>
    <row r="771" ht="15.75" customHeight="1">
      <c r="O771" s="220"/>
      <c r="P771" s="221"/>
    </row>
    <row r="772" ht="15.75" customHeight="1">
      <c r="O772" s="220"/>
      <c r="P772" s="221"/>
    </row>
    <row r="773" ht="15.75" customHeight="1">
      <c r="O773" s="220"/>
      <c r="P773" s="221"/>
    </row>
    <row r="774" ht="15.75" customHeight="1">
      <c r="O774" s="220"/>
      <c r="P774" s="221"/>
    </row>
    <row r="775" ht="15.75" customHeight="1">
      <c r="O775" s="220"/>
      <c r="P775" s="221"/>
    </row>
    <row r="776" ht="15.75" customHeight="1">
      <c r="O776" s="220"/>
      <c r="P776" s="221"/>
    </row>
    <row r="777" ht="15.75" customHeight="1">
      <c r="O777" s="220"/>
      <c r="P777" s="221"/>
    </row>
    <row r="778" ht="15.75" customHeight="1">
      <c r="O778" s="220"/>
      <c r="P778" s="221"/>
    </row>
    <row r="779" ht="15.75" customHeight="1">
      <c r="O779" s="220"/>
      <c r="P779" s="221"/>
    </row>
    <row r="780" ht="15.75" customHeight="1">
      <c r="O780" s="220"/>
      <c r="P780" s="221"/>
    </row>
    <row r="781" ht="15.75" customHeight="1">
      <c r="O781" s="220"/>
      <c r="P781" s="221"/>
    </row>
    <row r="782" ht="15.75" customHeight="1">
      <c r="O782" s="220"/>
      <c r="P782" s="221"/>
    </row>
    <row r="783" ht="15.75" customHeight="1">
      <c r="O783" s="220"/>
      <c r="P783" s="221"/>
    </row>
    <row r="784" ht="15.75" customHeight="1">
      <c r="O784" s="220"/>
      <c r="P784" s="221"/>
    </row>
    <row r="785" ht="15.75" customHeight="1">
      <c r="O785" s="220"/>
      <c r="P785" s="221"/>
    </row>
    <row r="786" ht="15.75" customHeight="1">
      <c r="O786" s="220"/>
      <c r="P786" s="221"/>
    </row>
    <row r="787" ht="15.75" customHeight="1">
      <c r="O787" s="220"/>
      <c r="P787" s="221"/>
    </row>
    <row r="788" ht="15.75" customHeight="1">
      <c r="O788" s="220"/>
      <c r="P788" s="221"/>
    </row>
    <row r="789" ht="15.75" customHeight="1">
      <c r="O789" s="220"/>
      <c r="P789" s="221"/>
    </row>
    <row r="790" ht="15.75" customHeight="1">
      <c r="O790" s="220"/>
      <c r="P790" s="221"/>
    </row>
    <row r="791" ht="15.75" customHeight="1">
      <c r="O791" s="220"/>
      <c r="P791" s="221"/>
    </row>
    <row r="792" ht="15.75" customHeight="1">
      <c r="O792" s="220"/>
      <c r="P792" s="221"/>
    </row>
    <row r="793" ht="15.75" customHeight="1">
      <c r="O793" s="220"/>
      <c r="P793" s="221"/>
    </row>
    <row r="794" ht="15.75" customHeight="1">
      <c r="O794" s="220"/>
      <c r="P794" s="221"/>
    </row>
    <row r="795" ht="15.75" customHeight="1">
      <c r="O795" s="220"/>
      <c r="P795" s="221"/>
    </row>
    <row r="796" ht="15.75" customHeight="1">
      <c r="O796" s="220"/>
      <c r="P796" s="221"/>
    </row>
    <row r="797" ht="15.75" customHeight="1">
      <c r="O797" s="220"/>
      <c r="P797" s="221"/>
    </row>
    <row r="798" ht="15.75" customHeight="1">
      <c r="O798" s="220"/>
      <c r="P798" s="221"/>
    </row>
    <row r="799" ht="15.75" customHeight="1">
      <c r="O799" s="220"/>
      <c r="P799" s="221"/>
    </row>
    <row r="800" ht="15.75" customHeight="1">
      <c r="O800" s="220"/>
      <c r="P800" s="221"/>
    </row>
    <row r="801" ht="15.75" customHeight="1">
      <c r="O801" s="220"/>
      <c r="P801" s="221"/>
    </row>
    <row r="802" ht="15.75" customHeight="1">
      <c r="O802" s="220"/>
      <c r="P802" s="221"/>
    </row>
    <row r="803" ht="15.75" customHeight="1">
      <c r="O803" s="220"/>
      <c r="P803" s="221"/>
    </row>
    <row r="804" ht="15.75" customHeight="1">
      <c r="O804" s="220"/>
      <c r="P804" s="221"/>
    </row>
    <row r="805" ht="15.75" customHeight="1">
      <c r="O805" s="220"/>
      <c r="P805" s="221"/>
    </row>
    <row r="806" ht="15.75" customHeight="1">
      <c r="O806" s="220"/>
      <c r="P806" s="221"/>
    </row>
    <row r="807" ht="15.75" customHeight="1">
      <c r="O807" s="220"/>
      <c r="P807" s="221"/>
    </row>
    <row r="808" ht="15.75" customHeight="1">
      <c r="O808" s="220"/>
      <c r="P808" s="221"/>
    </row>
    <row r="809" ht="15.75" customHeight="1">
      <c r="O809" s="220"/>
      <c r="P809" s="221"/>
    </row>
    <row r="810" ht="15.75" customHeight="1">
      <c r="O810" s="220"/>
      <c r="P810" s="221"/>
    </row>
    <row r="811" ht="15.75" customHeight="1">
      <c r="O811" s="220"/>
      <c r="P811" s="221"/>
    </row>
    <row r="812" ht="15.75" customHeight="1">
      <c r="O812" s="220"/>
      <c r="P812" s="221"/>
    </row>
    <row r="813" ht="15.75" customHeight="1">
      <c r="O813" s="220"/>
      <c r="P813" s="221"/>
    </row>
    <row r="814" ht="15.75" customHeight="1">
      <c r="O814" s="220"/>
      <c r="P814" s="221"/>
    </row>
    <row r="815" ht="15.75" customHeight="1">
      <c r="O815" s="220"/>
      <c r="P815" s="221"/>
    </row>
    <row r="816" ht="15.75" customHeight="1">
      <c r="O816" s="220"/>
      <c r="P816" s="221"/>
    </row>
    <row r="817" ht="15.75" customHeight="1">
      <c r="O817" s="220"/>
      <c r="P817" s="221"/>
    </row>
    <row r="818" ht="15.75" customHeight="1">
      <c r="O818" s="220"/>
      <c r="P818" s="221"/>
    </row>
    <row r="819" ht="15.75" customHeight="1">
      <c r="O819" s="220"/>
      <c r="P819" s="221"/>
    </row>
    <row r="820" ht="15.75" customHeight="1">
      <c r="O820" s="220"/>
      <c r="P820" s="221"/>
    </row>
    <row r="821" ht="15.75" customHeight="1">
      <c r="O821" s="220"/>
      <c r="P821" s="221"/>
    </row>
    <row r="822" ht="15.75" customHeight="1">
      <c r="O822" s="220"/>
      <c r="P822" s="221"/>
    </row>
    <row r="823" ht="15.75" customHeight="1">
      <c r="O823" s="220"/>
      <c r="P823" s="221"/>
    </row>
    <row r="824" ht="15.75" customHeight="1">
      <c r="O824" s="220"/>
      <c r="P824" s="221"/>
    </row>
    <row r="825" ht="15.75" customHeight="1">
      <c r="O825" s="220"/>
      <c r="P825" s="221"/>
    </row>
    <row r="826" ht="15.75" customHeight="1">
      <c r="O826" s="220"/>
      <c r="P826" s="221"/>
    </row>
    <row r="827" ht="15.75" customHeight="1">
      <c r="O827" s="220"/>
      <c r="P827" s="221"/>
    </row>
    <row r="828" ht="15.75" customHeight="1">
      <c r="O828" s="220"/>
      <c r="P828" s="221"/>
    </row>
    <row r="829" ht="15.75" customHeight="1">
      <c r="O829" s="220"/>
      <c r="P829" s="221"/>
    </row>
    <row r="830" ht="15.75" customHeight="1">
      <c r="O830" s="220"/>
      <c r="P830" s="221"/>
    </row>
    <row r="831" ht="15.75" customHeight="1">
      <c r="O831" s="220"/>
      <c r="P831" s="221"/>
    </row>
    <row r="832" ht="15.75" customHeight="1">
      <c r="O832" s="220"/>
      <c r="P832" s="221"/>
    </row>
    <row r="833" ht="15.75" customHeight="1">
      <c r="O833" s="220"/>
      <c r="P833" s="221"/>
    </row>
    <row r="834" ht="15.75" customHeight="1">
      <c r="O834" s="220"/>
      <c r="P834" s="221"/>
    </row>
    <row r="835" ht="15.75" customHeight="1">
      <c r="O835" s="220"/>
      <c r="P835" s="221"/>
    </row>
    <row r="836" ht="15.75" customHeight="1">
      <c r="O836" s="220"/>
      <c r="P836" s="221"/>
    </row>
    <row r="837" ht="15.75" customHeight="1">
      <c r="O837" s="220"/>
      <c r="P837" s="221"/>
    </row>
    <row r="838" ht="15.75" customHeight="1">
      <c r="O838" s="220"/>
      <c r="P838" s="221"/>
    </row>
    <row r="839" ht="15.75" customHeight="1">
      <c r="O839" s="220"/>
      <c r="P839" s="221"/>
    </row>
    <row r="840" ht="15.75" customHeight="1">
      <c r="O840" s="220"/>
      <c r="P840" s="221"/>
    </row>
    <row r="841" ht="15.75" customHeight="1">
      <c r="O841" s="220"/>
      <c r="P841" s="221"/>
    </row>
    <row r="842" ht="15.75" customHeight="1">
      <c r="O842" s="220"/>
      <c r="P842" s="221"/>
    </row>
    <row r="843" ht="15.75" customHeight="1">
      <c r="O843" s="220"/>
      <c r="P843" s="221"/>
    </row>
    <row r="844" ht="15.75" customHeight="1">
      <c r="O844" s="220"/>
      <c r="P844" s="221"/>
    </row>
    <row r="845" ht="15.75" customHeight="1">
      <c r="O845" s="220"/>
      <c r="P845" s="221"/>
    </row>
    <row r="846" ht="15.75" customHeight="1">
      <c r="O846" s="220"/>
      <c r="P846" s="221"/>
    </row>
    <row r="847" ht="15.75" customHeight="1">
      <c r="O847" s="220"/>
      <c r="P847" s="221"/>
    </row>
    <row r="848" ht="15.75" customHeight="1">
      <c r="O848" s="220"/>
      <c r="P848" s="221"/>
    </row>
    <row r="849" ht="15.75" customHeight="1">
      <c r="O849" s="220"/>
      <c r="P849" s="221"/>
    </row>
    <row r="850" ht="15.75" customHeight="1">
      <c r="O850" s="220"/>
      <c r="P850" s="221"/>
    </row>
    <row r="851" ht="15.75" customHeight="1">
      <c r="O851" s="220"/>
      <c r="P851" s="221"/>
    </row>
    <row r="852" ht="15.75" customHeight="1">
      <c r="O852" s="220"/>
      <c r="P852" s="221"/>
    </row>
    <row r="853" ht="15.75" customHeight="1">
      <c r="O853" s="220"/>
      <c r="P853" s="221"/>
    </row>
    <row r="854" ht="15.75" customHeight="1">
      <c r="O854" s="220"/>
      <c r="P854" s="221"/>
    </row>
    <row r="855" ht="15.75" customHeight="1">
      <c r="O855" s="220"/>
      <c r="P855" s="221"/>
    </row>
    <row r="856" ht="15.75" customHeight="1">
      <c r="O856" s="220"/>
      <c r="P856" s="221"/>
    </row>
    <row r="857" ht="15.75" customHeight="1">
      <c r="O857" s="220"/>
      <c r="P857" s="221"/>
    </row>
    <row r="858" ht="15.75" customHeight="1">
      <c r="O858" s="220"/>
      <c r="P858" s="221"/>
    </row>
    <row r="859" ht="15.75" customHeight="1">
      <c r="O859" s="220"/>
      <c r="P859" s="221"/>
    </row>
    <row r="860" ht="15.75" customHeight="1">
      <c r="O860" s="220"/>
      <c r="P860" s="221"/>
    </row>
    <row r="861" ht="15.75" customHeight="1">
      <c r="O861" s="220"/>
      <c r="P861" s="221"/>
    </row>
    <row r="862" ht="15.75" customHeight="1">
      <c r="O862" s="220"/>
      <c r="P862" s="221"/>
    </row>
    <row r="863" ht="15.75" customHeight="1">
      <c r="O863" s="220"/>
      <c r="P863" s="221"/>
    </row>
    <row r="864" ht="15.75" customHeight="1">
      <c r="O864" s="220"/>
      <c r="P864" s="221"/>
    </row>
    <row r="865" ht="15.75" customHeight="1">
      <c r="O865" s="220"/>
      <c r="P865" s="221"/>
    </row>
    <row r="866" ht="15.75" customHeight="1">
      <c r="O866" s="220"/>
      <c r="P866" s="221"/>
    </row>
    <row r="867" ht="15.75" customHeight="1">
      <c r="O867" s="220"/>
      <c r="P867" s="221"/>
    </row>
    <row r="868" ht="15.75" customHeight="1">
      <c r="O868" s="220"/>
      <c r="P868" s="221"/>
    </row>
    <row r="869" ht="15.75" customHeight="1">
      <c r="O869" s="220"/>
      <c r="P869" s="221"/>
    </row>
    <row r="870" ht="15.75" customHeight="1">
      <c r="O870" s="220"/>
      <c r="P870" s="221"/>
    </row>
    <row r="871" ht="15.75" customHeight="1">
      <c r="O871" s="220"/>
      <c r="P871" s="221"/>
    </row>
    <row r="872" ht="15.75" customHeight="1">
      <c r="O872" s="220"/>
      <c r="P872" s="221"/>
    </row>
    <row r="873" ht="15.75" customHeight="1">
      <c r="O873" s="220"/>
      <c r="P873" s="221"/>
    </row>
    <row r="874" ht="15.75" customHeight="1">
      <c r="O874" s="220"/>
      <c r="P874" s="221"/>
    </row>
    <row r="875" ht="15.75" customHeight="1">
      <c r="O875" s="220"/>
      <c r="P875" s="221"/>
    </row>
    <row r="876" ht="15.75" customHeight="1">
      <c r="O876" s="220"/>
      <c r="P876" s="221"/>
    </row>
    <row r="877" ht="15.75" customHeight="1">
      <c r="O877" s="220"/>
      <c r="P877" s="221"/>
    </row>
    <row r="878" ht="15.75" customHeight="1">
      <c r="O878" s="220"/>
      <c r="P878" s="221"/>
    </row>
    <row r="879" ht="15.75" customHeight="1">
      <c r="O879" s="220"/>
      <c r="P879" s="221"/>
    </row>
    <row r="880" ht="15.75" customHeight="1">
      <c r="O880" s="220"/>
      <c r="P880" s="221"/>
    </row>
    <row r="881" ht="15.75" customHeight="1">
      <c r="O881" s="220"/>
      <c r="P881" s="221"/>
    </row>
    <row r="882" ht="15.75" customHeight="1">
      <c r="O882" s="220"/>
      <c r="P882" s="221"/>
    </row>
    <row r="883" ht="15.75" customHeight="1">
      <c r="O883" s="220"/>
      <c r="P883" s="221"/>
    </row>
    <row r="884" ht="15.75" customHeight="1">
      <c r="O884" s="220"/>
      <c r="P884" s="221"/>
    </row>
    <row r="885" ht="15.75" customHeight="1">
      <c r="O885" s="220"/>
      <c r="P885" s="221"/>
    </row>
    <row r="886" ht="15.75" customHeight="1">
      <c r="O886" s="220"/>
      <c r="P886" s="221"/>
    </row>
    <row r="887" ht="15.75" customHeight="1">
      <c r="O887" s="220"/>
      <c r="P887" s="221"/>
    </row>
    <row r="888" ht="15.75" customHeight="1">
      <c r="O888" s="220"/>
      <c r="P888" s="221"/>
    </row>
    <row r="889" ht="15.75" customHeight="1">
      <c r="O889" s="220"/>
      <c r="P889" s="221"/>
    </row>
    <row r="890" ht="15.75" customHeight="1">
      <c r="O890" s="220"/>
      <c r="P890" s="221"/>
    </row>
    <row r="891" ht="15.75" customHeight="1">
      <c r="O891" s="220"/>
      <c r="P891" s="221"/>
    </row>
    <row r="892" ht="15.75" customHeight="1">
      <c r="O892" s="220"/>
      <c r="P892" s="221"/>
    </row>
    <row r="893" ht="15.75" customHeight="1">
      <c r="O893" s="220"/>
      <c r="P893" s="221"/>
    </row>
    <row r="894" ht="15.75" customHeight="1">
      <c r="O894" s="220"/>
      <c r="P894" s="221"/>
    </row>
    <row r="895" ht="15.75" customHeight="1">
      <c r="O895" s="220"/>
      <c r="P895" s="221"/>
    </row>
    <row r="896" ht="15.75" customHeight="1">
      <c r="O896" s="220"/>
      <c r="P896" s="221"/>
    </row>
    <row r="897" ht="15.75" customHeight="1">
      <c r="O897" s="220"/>
      <c r="P897" s="221"/>
    </row>
    <row r="898" ht="15.75" customHeight="1">
      <c r="O898" s="220"/>
      <c r="P898" s="221"/>
    </row>
    <row r="899" ht="15.75" customHeight="1">
      <c r="O899" s="220"/>
      <c r="P899" s="221"/>
    </row>
    <row r="900" ht="15.75" customHeight="1">
      <c r="O900" s="220"/>
      <c r="P900" s="221"/>
    </row>
    <row r="901" ht="15.75" customHeight="1">
      <c r="O901" s="220"/>
      <c r="P901" s="221"/>
    </row>
    <row r="902" ht="15.75" customHeight="1">
      <c r="O902" s="220"/>
      <c r="P902" s="221"/>
    </row>
    <row r="903" ht="15.75" customHeight="1">
      <c r="O903" s="220"/>
      <c r="P903" s="221"/>
    </row>
    <row r="904" ht="15.75" customHeight="1">
      <c r="O904" s="220"/>
      <c r="P904" s="221"/>
    </row>
    <row r="905" ht="15.75" customHeight="1">
      <c r="O905" s="220"/>
      <c r="P905" s="221"/>
    </row>
    <row r="906" ht="15.75" customHeight="1">
      <c r="O906" s="220"/>
      <c r="P906" s="221"/>
    </row>
    <row r="907" ht="15.75" customHeight="1">
      <c r="O907" s="220"/>
      <c r="P907" s="221"/>
    </row>
    <row r="908" ht="15.75" customHeight="1">
      <c r="O908" s="220"/>
      <c r="P908" s="221"/>
    </row>
    <row r="909" ht="15.75" customHeight="1">
      <c r="O909" s="220"/>
      <c r="P909" s="221"/>
    </row>
    <row r="910" ht="15.75" customHeight="1">
      <c r="O910" s="220"/>
      <c r="P910" s="221"/>
    </row>
    <row r="911" ht="15.75" customHeight="1">
      <c r="O911" s="220"/>
      <c r="P911" s="221"/>
    </row>
    <row r="912" ht="15.75" customHeight="1">
      <c r="O912" s="220"/>
      <c r="P912" s="221"/>
    </row>
    <row r="913" ht="15.75" customHeight="1">
      <c r="O913" s="220"/>
      <c r="P913" s="221"/>
    </row>
    <row r="914" ht="15.75" customHeight="1">
      <c r="O914" s="220"/>
      <c r="P914" s="221"/>
    </row>
    <row r="915" ht="15.75" customHeight="1">
      <c r="O915" s="220"/>
      <c r="P915" s="221"/>
    </row>
    <row r="916" ht="15.75" customHeight="1">
      <c r="O916" s="220"/>
      <c r="P916" s="221"/>
    </row>
    <row r="917" ht="15.75" customHeight="1">
      <c r="O917" s="220"/>
      <c r="P917" s="221"/>
    </row>
    <row r="918" ht="15.75" customHeight="1">
      <c r="O918" s="220"/>
      <c r="P918" s="221"/>
    </row>
    <row r="919" ht="15.75" customHeight="1">
      <c r="O919" s="220"/>
      <c r="P919" s="221"/>
    </row>
    <row r="920" ht="15.75" customHeight="1">
      <c r="O920" s="220"/>
      <c r="P920" s="221"/>
    </row>
    <row r="921" ht="15.75" customHeight="1">
      <c r="O921" s="220"/>
      <c r="P921" s="221"/>
    </row>
    <row r="922" ht="15.75" customHeight="1">
      <c r="O922" s="220"/>
      <c r="P922" s="221"/>
    </row>
    <row r="923" ht="15.75" customHeight="1">
      <c r="O923" s="220"/>
      <c r="P923" s="221"/>
    </row>
    <row r="924" ht="15.75" customHeight="1">
      <c r="O924" s="220"/>
      <c r="P924" s="221"/>
    </row>
    <row r="925" ht="15.75" customHeight="1">
      <c r="O925" s="220"/>
      <c r="P925" s="221"/>
    </row>
    <row r="926" ht="15.75" customHeight="1">
      <c r="O926" s="220"/>
      <c r="P926" s="221"/>
    </row>
    <row r="927" ht="15.75" customHeight="1">
      <c r="O927" s="220"/>
      <c r="P927" s="221"/>
    </row>
    <row r="928" ht="15.75" customHeight="1">
      <c r="O928" s="220"/>
      <c r="P928" s="221"/>
    </row>
    <row r="929" ht="15.75" customHeight="1">
      <c r="O929" s="220"/>
      <c r="P929" s="221"/>
    </row>
    <row r="930" ht="15.75" customHeight="1">
      <c r="O930" s="220"/>
      <c r="P930" s="221"/>
    </row>
    <row r="931" ht="15.75" customHeight="1">
      <c r="O931" s="220"/>
      <c r="P931" s="221"/>
    </row>
    <row r="932" ht="15.75" customHeight="1">
      <c r="O932" s="220"/>
      <c r="P932" s="221"/>
    </row>
    <row r="933" ht="15.75" customHeight="1">
      <c r="O933" s="220"/>
      <c r="P933" s="221"/>
    </row>
    <row r="934" ht="15.75" customHeight="1">
      <c r="O934" s="220"/>
      <c r="P934" s="221"/>
    </row>
    <row r="935" ht="15.75" customHeight="1">
      <c r="O935" s="220"/>
      <c r="P935" s="221"/>
    </row>
    <row r="936" ht="15.75" customHeight="1">
      <c r="O936" s="220"/>
      <c r="P936" s="221"/>
    </row>
    <row r="937" ht="15.75" customHeight="1">
      <c r="O937" s="220"/>
      <c r="P937" s="221"/>
    </row>
    <row r="938" ht="15.75" customHeight="1">
      <c r="O938" s="220"/>
      <c r="P938" s="221"/>
    </row>
    <row r="939" ht="15.75" customHeight="1">
      <c r="O939" s="220"/>
      <c r="P939" s="221"/>
    </row>
    <row r="940" ht="15.75" customHeight="1">
      <c r="O940" s="220"/>
      <c r="P940" s="221"/>
    </row>
    <row r="941" ht="15.75" customHeight="1">
      <c r="O941" s="220"/>
      <c r="P941" s="221"/>
    </row>
    <row r="942" ht="15.75" customHeight="1">
      <c r="O942" s="220"/>
      <c r="P942" s="221"/>
    </row>
    <row r="943" ht="15.75" customHeight="1">
      <c r="O943" s="220"/>
      <c r="P943" s="221"/>
    </row>
    <row r="944" ht="15.75" customHeight="1">
      <c r="O944" s="220"/>
      <c r="P944" s="221"/>
    </row>
    <row r="945" ht="15.75" customHeight="1">
      <c r="O945" s="220"/>
      <c r="P945" s="221"/>
    </row>
    <row r="946" ht="15.75" customHeight="1">
      <c r="O946" s="220"/>
      <c r="P946" s="221"/>
    </row>
    <row r="947" ht="15.75" customHeight="1">
      <c r="O947" s="220"/>
      <c r="P947" s="221"/>
    </row>
    <row r="948" ht="15.75" customHeight="1">
      <c r="O948" s="220"/>
      <c r="P948" s="221"/>
    </row>
    <row r="949" ht="15.75" customHeight="1">
      <c r="O949" s="220"/>
      <c r="P949" s="221"/>
    </row>
    <row r="950" ht="15.75" customHeight="1">
      <c r="O950" s="220"/>
      <c r="P950" s="221"/>
    </row>
    <row r="951" ht="15.75" customHeight="1">
      <c r="O951" s="220"/>
      <c r="P951" s="221"/>
    </row>
    <row r="952" ht="15.75" customHeight="1">
      <c r="O952" s="220"/>
      <c r="P952" s="221"/>
    </row>
    <row r="953" ht="15.75" customHeight="1">
      <c r="O953" s="220"/>
      <c r="P953" s="221"/>
    </row>
    <row r="954" ht="15.75" customHeight="1">
      <c r="O954" s="220"/>
      <c r="P954" s="221"/>
    </row>
    <row r="955" ht="15.75" customHeight="1">
      <c r="O955" s="220"/>
      <c r="P955" s="221"/>
    </row>
    <row r="956" ht="15.75" customHeight="1">
      <c r="O956" s="220"/>
      <c r="P956" s="221"/>
    </row>
    <row r="957" ht="15.75" customHeight="1">
      <c r="O957" s="220"/>
      <c r="P957" s="221"/>
    </row>
    <row r="958" ht="15.75" customHeight="1">
      <c r="O958" s="220"/>
      <c r="P958" s="221"/>
    </row>
    <row r="959" ht="15.75" customHeight="1">
      <c r="O959" s="220"/>
      <c r="P959" s="221"/>
    </row>
    <row r="960" ht="15.75" customHeight="1">
      <c r="O960" s="220"/>
      <c r="P960" s="221"/>
    </row>
    <row r="961" ht="15.75" customHeight="1">
      <c r="O961" s="220"/>
      <c r="P961" s="221"/>
    </row>
    <row r="962" ht="15.75" customHeight="1">
      <c r="O962" s="220"/>
      <c r="P962" s="221"/>
    </row>
    <row r="963" ht="15.75" customHeight="1">
      <c r="O963" s="220"/>
      <c r="P963" s="221"/>
    </row>
    <row r="964" ht="15.75" customHeight="1">
      <c r="O964" s="220"/>
      <c r="P964" s="221"/>
    </row>
    <row r="965" ht="15.75" customHeight="1">
      <c r="O965" s="220"/>
      <c r="P965" s="221"/>
    </row>
    <row r="966" ht="15.75" customHeight="1">
      <c r="O966" s="220"/>
      <c r="P966" s="221"/>
    </row>
    <row r="967" ht="15.75" customHeight="1">
      <c r="O967" s="220"/>
      <c r="P967" s="221"/>
    </row>
    <row r="968" ht="15.75" customHeight="1">
      <c r="O968" s="220"/>
      <c r="P968" s="221"/>
    </row>
    <row r="969" ht="15.75" customHeight="1">
      <c r="O969" s="220"/>
      <c r="P969" s="221"/>
    </row>
    <row r="970" ht="15.75" customHeight="1">
      <c r="O970" s="220"/>
      <c r="P970" s="221"/>
    </row>
    <row r="971" ht="15.75" customHeight="1">
      <c r="O971" s="220"/>
      <c r="P971" s="221"/>
    </row>
    <row r="972" ht="15.75" customHeight="1">
      <c r="O972" s="220"/>
      <c r="P972" s="221"/>
    </row>
    <row r="973" ht="15.75" customHeight="1">
      <c r="O973" s="220"/>
      <c r="P973" s="221"/>
    </row>
    <row r="974" ht="15.75" customHeight="1">
      <c r="O974" s="220"/>
      <c r="P974" s="221"/>
    </row>
    <row r="975" ht="15.75" customHeight="1">
      <c r="O975" s="220"/>
      <c r="P975" s="221"/>
    </row>
    <row r="976" ht="15.75" customHeight="1">
      <c r="O976" s="220"/>
      <c r="P976" s="221"/>
    </row>
    <row r="977" ht="15.75" customHeight="1">
      <c r="O977" s="220"/>
      <c r="P977" s="221"/>
    </row>
    <row r="978" ht="15.75" customHeight="1">
      <c r="O978" s="220"/>
      <c r="P978" s="221"/>
    </row>
    <row r="979" ht="15.75" customHeight="1">
      <c r="O979" s="220"/>
      <c r="P979" s="221"/>
    </row>
    <row r="980" ht="15.75" customHeight="1">
      <c r="O980" s="220"/>
      <c r="P980" s="221"/>
    </row>
    <row r="981" ht="15.75" customHeight="1">
      <c r="O981" s="220"/>
      <c r="P981" s="221"/>
    </row>
    <row r="982" ht="15.75" customHeight="1">
      <c r="O982" s="220"/>
      <c r="P982" s="221"/>
    </row>
    <row r="983" ht="15.75" customHeight="1">
      <c r="O983" s="220"/>
      <c r="P983" s="221"/>
    </row>
    <row r="984" ht="15.75" customHeight="1">
      <c r="O984" s="220"/>
      <c r="P984" s="221"/>
    </row>
    <row r="985" ht="15.75" customHeight="1">
      <c r="O985" s="220"/>
      <c r="P985" s="221"/>
    </row>
    <row r="986" ht="15.75" customHeight="1">
      <c r="O986" s="220"/>
      <c r="P986" s="221"/>
    </row>
    <row r="987" ht="15.75" customHeight="1">
      <c r="O987" s="220"/>
      <c r="P987" s="221"/>
    </row>
    <row r="988" ht="15.75" customHeight="1">
      <c r="O988" s="220"/>
      <c r="P988" s="221"/>
    </row>
    <row r="989" ht="15.75" customHeight="1">
      <c r="O989" s="220"/>
      <c r="P989" s="221"/>
    </row>
    <row r="990" ht="15.75" customHeight="1">
      <c r="O990" s="220"/>
      <c r="P990" s="221"/>
    </row>
    <row r="991" ht="15.75" customHeight="1">
      <c r="O991" s="220"/>
      <c r="P991" s="221"/>
    </row>
    <row r="992" ht="15.75" customHeight="1">
      <c r="O992" s="220"/>
      <c r="P992" s="221"/>
    </row>
    <row r="993" ht="15.75" customHeight="1">
      <c r="O993" s="220"/>
      <c r="P993" s="221"/>
    </row>
    <row r="994" ht="15.75" customHeight="1">
      <c r="O994" s="220"/>
      <c r="P994" s="221"/>
    </row>
    <row r="995" ht="15.75" customHeight="1">
      <c r="O995" s="220"/>
      <c r="P995" s="221"/>
    </row>
    <row r="996" ht="15.75" customHeight="1">
      <c r="O996" s="220"/>
      <c r="P996" s="221"/>
    </row>
    <row r="997" ht="15.75" customHeight="1">
      <c r="O997" s="220"/>
      <c r="P997" s="221"/>
    </row>
    <row r="998" ht="15.75" customHeight="1">
      <c r="O998" s="220"/>
      <c r="P998" s="221"/>
    </row>
    <row r="999" ht="15.75" customHeight="1">
      <c r="O999" s="220"/>
      <c r="P999" s="221"/>
    </row>
    <row r="1000" ht="15.75" customHeight="1">
      <c r="O1000" s="220"/>
      <c r="P1000" s="221"/>
    </row>
    <row r="1001" ht="15.75" customHeight="1">
      <c r="O1001" s="220"/>
      <c r="P1001" s="221"/>
    </row>
    <row r="1002" ht="15.75" customHeight="1">
      <c r="O1002" s="220"/>
      <c r="P1002" s="221"/>
    </row>
    <row r="1003" ht="15.75" customHeight="1">
      <c r="O1003" s="220"/>
      <c r="P1003" s="221"/>
    </row>
    <row r="1004" ht="15.75" customHeight="1">
      <c r="O1004" s="220"/>
      <c r="P1004" s="221"/>
    </row>
    <row r="1005" ht="15.75" customHeight="1">
      <c r="O1005" s="220"/>
      <c r="P1005" s="221"/>
    </row>
    <row r="1006" ht="15.75" customHeight="1">
      <c r="O1006" s="220"/>
      <c r="P1006" s="221"/>
    </row>
    <row r="1007" ht="15.75" customHeight="1">
      <c r="O1007" s="220"/>
      <c r="P1007" s="221"/>
    </row>
    <row r="1008" ht="15.75" customHeight="1">
      <c r="O1008" s="220"/>
      <c r="P1008" s="221"/>
    </row>
    <row r="1009" ht="15.75" customHeight="1">
      <c r="O1009" s="220"/>
      <c r="P1009" s="221"/>
    </row>
    <row r="1010" ht="15.75" customHeight="1">
      <c r="O1010" s="220"/>
      <c r="P1010" s="221"/>
    </row>
    <row r="1011" ht="15.75" customHeight="1">
      <c r="O1011" s="220"/>
      <c r="P1011" s="221"/>
    </row>
    <row r="1012" ht="15.75" customHeight="1">
      <c r="O1012" s="220"/>
      <c r="P1012" s="221"/>
    </row>
    <row r="1013" ht="15.75" customHeight="1">
      <c r="O1013" s="220"/>
      <c r="P1013" s="221"/>
    </row>
    <row r="1014" ht="15.75" customHeight="1">
      <c r="O1014" s="220"/>
      <c r="P1014" s="221"/>
    </row>
    <row r="1015" ht="15.75" customHeight="1">
      <c r="O1015" s="220"/>
      <c r="P1015" s="221"/>
    </row>
  </sheetData>
  <autoFilter ref="$A$1:$Z$1015">
    <filterColumn colId="17">
      <filters blank="1">
        <filter val="ACTIVO"/>
      </filters>
    </filterColumn>
  </autoFilter>
  <customSheetViews>
    <customSheetView guid="{98864304-AF39-4EE8-922A-FFA9F96834CD}" filter="1" showAutoFilter="1">
      <autoFilter ref="$A$1:$T$104"/>
      <extLst>
        <ext uri="GoogleSheetsCustomDataVersion1">
          <go:sheetsCustomData xmlns:go="http://customooxmlschemas.google.com/" filterViewId="1455953465"/>
        </ext>
      </extLst>
    </customSheetView>
    <customSheetView guid="{8F4697A8-9B3B-4A0C-8541-402E1B0E49F2}" filter="1" showAutoFilter="1">
      <autoFilter ref="$A$1:$T$104">
        <filterColumn colId="17">
          <filters>
            <filter val="ACTIVO"/>
          </filters>
        </filterColumn>
      </autoFilter>
      <extLst>
        <ext uri="GoogleSheetsCustomDataVersion1">
          <go:sheetsCustomData xmlns:go="http://customooxmlschemas.google.com/" filterViewId="1559274701"/>
        </ext>
      </extLst>
    </customSheetView>
    <customSheetView guid="{3CCA923D-9A87-4ADF-B705-45CFE672D442}" filter="1" showAutoFilter="1">
      <autoFilter ref="$A$1:$T$104"/>
      <extLst>
        <ext uri="GoogleSheetsCustomDataVersion1">
          <go:sheetsCustomData xmlns:go="http://customooxmlschemas.google.com/" filterViewId="1648926991"/>
        </ext>
      </extLst>
    </customSheetView>
    <customSheetView guid="{70F4BBED-E6C4-44DB-9BAE-40BE6DD2E7F8}" filter="1" showAutoFilter="1">
      <autoFilter ref="$A$1:$U$1015">
        <filterColumn colId="0">
          <filters>
            <filter val="CI-V"/>
            <filter val="Pasaporte"/>
            <filter val="C.I-V"/>
            <filter val="Passport"/>
          </filters>
        </filterColumn>
      </autoFilter>
      <extLst>
        <ext uri="GoogleSheetsCustomDataVersion1">
          <go:sheetsCustomData xmlns:go="http://customooxmlschemas.google.com/" filterViewId="2051493995"/>
        </ext>
      </extLst>
    </customSheetView>
    <customSheetView guid="{9E1C7BC5-6722-4997-8385-C5CAAEEEF034}" filter="1" showAutoFilter="1">
      <autoFilter ref="$A$1:$T$104">
        <filterColumn colId="17">
          <filters>
            <filter val="ACTIVO"/>
          </filters>
        </filterColumn>
      </autoFilter>
      <extLst>
        <ext uri="GoogleSheetsCustomDataVersion1">
          <go:sheetsCustomData xmlns:go="http://customooxmlschemas.google.com/" filterViewId="2086812521"/>
        </ext>
      </extLst>
    </customSheetView>
    <customSheetView guid="{009EECFC-DAEA-473A-B3A4-5443A73F16BC}" filter="1" showAutoFilter="1">
      <autoFilter ref="$A$1:$T$104"/>
      <extLst>
        <ext uri="GoogleSheetsCustomDataVersion1">
          <go:sheetsCustomData xmlns:go="http://customooxmlschemas.google.com/" filterViewId="516085044"/>
        </ext>
      </extLst>
    </customSheetView>
    <customSheetView guid="{894FDF7D-FB71-4D92-BF0F-84F25232B3B0}" filter="1" showAutoFilter="1">
      <autoFilter ref="$A$1:$T$59"/>
      <extLst>
        <ext uri="GoogleSheetsCustomDataVersion1">
          <go:sheetsCustomData xmlns:go="http://customooxmlschemas.google.com/" filterViewId="928266261"/>
        </ext>
      </extLst>
    </customSheetView>
  </customSheetViews>
  <dataValidations>
    <dataValidation type="list" allowBlank="1" showErrorMessage="1" sqref="I2:I128">
      <formula1>Hoja!$C$2:$C$3</formula1>
    </dataValidation>
    <dataValidation type="list" allowBlank="1" showErrorMessage="1" sqref="N2:N128">
      <formula1>Hoja!$A$2:$A$3</formula1>
    </dataValidation>
    <dataValidation type="list" allowBlank="1" showErrorMessage="1" sqref="L2:L128">
      <formula1>Hoja!$F$2:$F$5</formula1>
    </dataValidation>
    <dataValidation type="list" allowBlank="1" showErrorMessage="1" sqref="M2:M128">
      <formula1>Hoja!$E$2:$E$11</formula1>
    </dataValidation>
    <dataValidation type="list" allowBlank="1" showErrorMessage="1" sqref="U2:U5 U7:U11 U14:U15 U17:U23 U25:U55 U57:U77 U79:U89 U91:U92 U94:U100 U102:U108 U110:U117 U119 U121:U127 R2:R128">
      <formula1>Hoja!$B$2:$B$3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3.25"/>
    <col customWidth="1" min="3" max="3" width="31.63"/>
    <col customWidth="1" min="4" max="4" width="19.75"/>
    <col customWidth="1" min="5" max="5" width="11.13"/>
    <col customWidth="1" min="6" max="6" width="23.25"/>
    <col customWidth="1" min="7" max="7" width="41.63"/>
    <col customWidth="1" min="8" max="8" width="7.38"/>
    <col customWidth="1" min="9" max="9" width="7.13"/>
    <col customWidth="1" min="10" max="10" width="10.13"/>
    <col customWidth="1" min="11" max="11" width="16.38"/>
    <col customWidth="1" min="12" max="12" width="9.13"/>
    <col customWidth="1" min="13" max="13" width="10.0"/>
    <col customWidth="1" min="14" max="14" width="10.13"/>
    <col customWidth="1" min="15" max="15" width="14.63"/>
    <col customWidth="1" min="16" max="16" width="18.13"/>
    <col customWidth="1" min="17" max="17" width="13.5"/>
    <col customWidth="1" min="18" max="18" width="10.5"/>
    <col customWidth="1" min="19" max="19" width="10.38"/>
    <col customWidth="1" min="20" max="20" width="11.75"/>
    <col customWidth="1" min="21" max="21" width="20.5"/>
  </cols>
  <sheetData>
    <row r="1" ht="15.75" customHeight="1">
      <c r="A1" s="222" t="s">
        <v>253</v>
      </c>
      <c r="B1" s="223" t="s">
        <v>1</v>
      </c>
      <c r="C1" s="224" t="s">
        <v>2</v>
      </c>
      <c r="D1" s="225" t="s">
        <v>3</v>
      </c>
      <c r="E1" s="224" t="s">
        <v>4</v>
      </c>
      <c r="F1" s="224" t="s">
        <v>5</v>
      </c>
      <c r="G1" s="224" t="s">
        <v>6</v>
      </c>
      <c r="H1" s="224" t="s">
        <v>7</v>
      </c>
      <c r="I1" s="224" t="s">
        <v>8</v>
      </c>
      <c r="J1" s="224" t="s">
        <v>9</v>
      </c>
      <c r="K1" s="5" t="s">
        <v>10</v>
      </c>
      <c r="L1" s="224" t="s">
        <v>11</v>
      </c>
      <c r="M1" s="224" t="s">
        <v>12</v>
      </c>
      <c r="N1" s="224" t="s">
        <v>13</v>
      </c>
      <c r="O1" s="225" t="s">
        <v>14</v>
      </c>
      <c r="P1" s="3" t="s">
        <v>15</v>
      </c>
      <c r="Q1" s="225" t="s">
        <v>16</v>
      </c>
      <c r="R1" s="224" t="s">
        <v>17</v>
      </c>
      <c r="S1" s="3" t="s">
        <v>18</v>
      </c>
      <c r="T1" s="226" t="s">
        <v>19</v>
      </c>
      <c r="U1" s="3" t="s">
        <v>20</v>
      </c>
    </row>
    <row r="2" ht="15.75" hidden="1" customHeight="1">
      <c r="A2" s="35" t="s">
        <v>21</v>
      </c>
      <c r="B2" s="227">
        <v>6784288.0</v>
      </c>
      <c r="C2" s="228" t="s">
        <v>616</v>
      </c>
      <c r="D2" s="229">
        <v>33198.0</v>
      </c>
      <c r="E2" s="228">
        <v>3.20987581E9</v>
      </c>
      <c r="F2" s="230" t="s">
        <v>617</v>
      </c>
      <c r="G2" s="228" t="s">
        <v>618</v>
      </c>
      <c r="H2" s="228">
        <f t="shared" ref="H2:H43" si="1">(YEAR(NOW())-YEAR(D2))</f>
        <v>36</v>
      </c>
      <c r="I2" s="12" t="s">
        <v>67</v>
      </c>
      <c r="J2" s="7" t="s">
        <v>26</v>
      </c>
      <c r="K2" s="7" t="s">
        <v>89</v>
      </c>
      <c r="L2" s="7" t="s">
        <v>28</v>
      </c>
      <c r="M2" s="12" t="s">
        <v>61</v>
      </c>
      <c r="N2" s="12" t="s">
        <v>62</v>
      </c>
      <c r="O2" s="229">
        <v>44924.0</v>
      </c>
      <c r="P2" s="31">
        <f t="shared" ref="P2:P3" si="2">O2+90</f>
        <v>45014</v>
      </c>
      <c r="Q2" s="13">
        <v>45165.0</v>
      </c>
      <c r="R2" s="14" t="s">
        <v>31</v>
      </c>
      <c r="S2" s="15">
        <v>1000000.0</v>
      </c>
      <c r="T2" s="15">
        <v>500000.0</v>
      </c>
      <c r="U2" s="14" t="s">
        <v>31</v>
      </c>
    </row>
    <row r="3" ht="15.75" hidden="1" customHeight="1">
      <c r="A3" s="34" t="s">
        <v>50</v>
      </c>
      <c r="B3" s="61">
        <v>1.030520042E9</v>
      </c>
      <c r="C3" s="60" t="s">
        <v>619</v>
      </c>
      <c r="D3" s="231">
        <v>35709.0</v>
      </c>
      <c r="E3" s="60">
        <v>3.025230114E9</v>
      </c>
      <c r="F3" s="61" t="s">
        <v>620</v>
      </c>
      <c r="G3" s="60" t="s">
        <v>621</v>
      </c>
      <c r="H3" s="60">
        <f t="shared" si="1"/>
        <v>29</v>
      </c>
      <c r="I3" s="12" t="s">
        <v>25</v>
      </c>
      <c r="J3" s="7" t="s">
        <v>26</v>
      </c>
      <c r="K3" s="7" t="s">
        <v>89</v>
      </c>
      <c r="L3" s="7" t="s">
        <v>28</v>
      </c>
      <c r="M3" s="12" t="s">
        <v>61</v>
      </c>
      <c r="N3" s="12" t="s">
        <v>62</v>
      </c>
      <c r="O3" s="80">
        <v>45135.0</v>
      </c>
      <c r="P3" s="31">
        <f t="shared" si="2"/>
        <v>45225</v>
      </c>
      <c r="Q3" s="13">
        <v>45280.0</v>
      </c>
      <c r="R3" s="14" t="s">
        <v>31</v>
      </c>
      <c r="S3" s="15">
        <v>1160000.0</v>
      </c>
      <c r="T3" s="15">
        <v>580000.0</v>
      </c>
      <c r="U3" s="14" t="s">
        <v>31</v>
      </c>
    </row>
    <row r="4" ht="15.75" hidden="1" customHeight="1">
      <c r="A4" s="40" t="s">
        <v>115</v>
      </c>
      <c r="B4" s="196">
        <v>2.7651412E7</v>
      </c>
      <c r="C4" s="194" t="s">
        <v>622</v>
      </c>
      <c r="D4" s="201">
        <v>36310.0</v>
      </c>
      <c r="E4" s="194">
        <v>3.044244169E9</v>
      </c>
      <c r="F4" s="196" t="s">
        <v>623</v>
      </c>
      <c r="G4" s="194" t="s">
        <v>624</v>
      </c>
      <c r="H4" s="199">
        <f t="shared" si="1"/>
        <v>27</v>
      </c>
      <c r="I4" s="12" t="s">
        <v>67</v>
      </c>
      <c r="J4" s="7" t="s">
        <v>26</v>
      </c>
      <c r="K4" s="7" t="s">
        <v>89</v>
      </c>
      <c r="L4" s="7" t="s">
        <v>73</v>
      </c>
      <c r="M4" s="12" t="s">
        <v>61</v>
      </c>
      <c r="N4" s="12" t="s">
        <v>62</v>
      </c>
      <c r="O4" s="134">
        <v>44964.0</v>
      </c>
      <c r="P4" s="17">
        <f>O4+60</f>
        <v>45024</v>
      </c>
      <c r="Q4" s="11" t="s">
        <v>625</v>
      </c>
      <c r="R4" s="24" t="s">
        <v>31</v>
      </c>
      <c r="S4" s="32" t="s">
        <v>63</v>
      </c>
      <c r="T4" s="32" t="s">
        <v>63</v>
      </c>
      <c r="U4" s="24" t="s">
        <v>31</v>
      </c>
    </row>
    <row r="5" ht="15.75" hidden="1" customHeight="1">
      <c r="A5" s="232" t="s">
        <v>50</v>
      </c>
      <c r="B5" s="233">
        <v>1.003908211E9</v>
      </c>
      <c r="C5" s="234" t="s">
        <v>626</v>
      </c>
      <c r="D5" s="235">
        <v>37254.0</v>
      </c>
      <c r="E5" s="234">
        <v>3.114052846E9</v>
      </c>
      <c r="F5" s="236" t="s">
        <v>627</v>
      </c>
      <c r="G5" s="234" t="s">
        <v>628</v>
      </c>
      <c r="H5" s="234">
        <f t="shared" si="1"/>
        <v>25</v>
      </c>
      <c r="I5" s="12" t="s">
        <v>25</v>
      </c>
      <c r="J5" s="7" t="s">
        <v>26</v>
      </c>
      <c r="K5" s="7" t="s">
        <v>89</v>
      </c>
      <c r="L5" s="7" t="s">
        <v>48</v>
      </c>
      <c r="M5" s="12" t="s">
        <v>61</v>
      </c>
      <c r="N5" s="12" t="s">
        <v>62</v>
      </c>
      <c r="O5" s="235">
        <v>44890.0</v>
      </c>
      <c r="P5" s="31">
        <f t="shared" ref="P5:P6" si="3">O5+90</f>
        <v>44980</v>
      </c>
      <c r="Q5" s="33">
        <v>45036.0</v>
      </c>
      <c r="R5" s="14" t="s">
        <v>31</v>
      </c>
      <c r="S5" s="15">
        <v>1000000.0</v>
      </c>
      <c r="T5" s="15">
        <v>500000.0</v>
      </c>
      <c r="U5" s="14" t="s">
        <v>31</v>
      </c>
    </row>
    <row r="6" ht="15.75" hidden="1" customHeight="1">
      <c r="A6" s="75" t="s">
        <v>50</v>
      </c>
      <c r="B6" s="76">
        <v>1.192786641E9</v>
      </c>
      <c r="C6" s="77" t="s">
        <v>629</v>
      </c>
      <c r="D6" s="237">
        <v>36486.0</v>
      </c>
      <c r="E6" s="77">
        <v>3.240470299E9</v>
      </c>
      <c r="F6" s="76" t="s">
        <v>630</v>
      </c>
      <c r="G6" s="77" t="s">
        <v>631</v>
      </c>
      <c r="H6" s="60">
        <f t="shared" si="1"/>
        <v>27</v>
      </c>
      <c r="I6" s="12" t="s">
        <v>25</v>
      </c>
      <c r="J6" s="7" t="s">
        <v>26</v>
      </c>
      <c r="K6" s="7" t="s">
        <v>89</v>
      </c>
      <c r="L6" s="7" t="s">
        <v>48</v>
      </c>
      <c r="M6" s="12" t="s">
        <v>61</v>
      </c>
      <c r="N6" s="12" t="s">
        <v>62</v>
      </c>
      <c r="O6" s="80">
        <v>45122.0</v>
      </c>
      <c r="P6" s="31">
        <f t="shared" si="3"/>
        <v>45212</v>
      </c>
      <c r="Q6" s="13">
        <v>45273.0</v>
      </c>
      <c r="R6" s="14" t="s">
        <v>31</v>
      </c>
      <c r="S6" s="15">
        <v>1160000.0</v>
      </c>
      <c r="T6" s="15">
        <v>580000.0</v>
      </c>
      <c r="U6" s="14" t="s">
        <v>31</v>
      </c>
    </row>
    <row r="7" ht="15.75" hidden="1" customHeight="1">
      <c r="A7" s="113" t="s">
        <v>115</v>
      </c>
      <c r="B7" s="76">
        <v>3.1141234E7</v>
      </c>
      <c r="C7" s="77" t="s">
        <v>297</v>
      </c>
      <c r="D7" s="237">
        <v>38147.0</v>
      </c>
      <c r="E7" s="77">
        <v>3.004653837E9</v>
      </c>
      <c r="F7" s="76" t="s">
        <v>298</v>
      </c>
      <c r="G7" s="77" t="s">
        <v>299</v>
      </c>
      <c r="H7" s="60">
        <f t="shared" si="1"/>
        <v>22</v>
      </c>
      <c r="I7" s="12" t="s">
        <v>67</v>
      </c>
      <c r="J7" s="7" t="s">
        <v>26</v>
      </c>
      <c r="K7" s="7" t="s">
        <v>89</v>
      </c>
      <c r="L7" s="7" t="s">
        <v>28</v>
      </c>
      <c r="M7" s="12" t="s">
        <v>61</v>
      </c>
      <c r="N7" s="12" t="s">
        <v>62</v>
      </c>
      <c r="O7" s="115">
        <v>45444.0</v>
      </c>
      <c r="P7" s="13">
        <f t="shared" ref="P7:P8" si="4">O7+60</f>
        <v>45504</v>
      </c>
      <c r="Q7" s="13">
        <v>45487.0</v>
      </c>
      <c r="R7" s="14" t="s">
        <v>31</v>
      </c>
      <c r="S7" s="15">
        <v>1300000.0</v>
      </c>
      <c r="T7" s="15">
        <v>650000.0</v>
      </c>
      <c r="U7" s="14" t="s">
        <v>31</v>
      </c>
    </row>
    <row r="8" ht="15.75" hidden="1" customHeight="1">
      <c r="A8" s="200" t="s">
        <v>50</v>
      </c>
      <c r="B8" s="238">
        <v>1.083063294E9</v>
      </c>
      <c r="C8" s="238" t="s">
        <v>632</v>
      </c>
      <c r="D8" s="239">
        <v>34806.0</v>
      </c>
      <c r="E8" s="238">
        <v>3.05281457E9</v>
      </c>
      <c r="F8" s="238" t="s">
        <v>633</v>
      </c>
      <c r="G8" s="238" t="s">
        <v>634</v>
      </c>
      <c r="H8" s="199">
        <f t="shared" si="1"/>
        <v>31</v>
      </c>
      <c r="I8" s="42" t="s">
        <v>25</v>
      </c>
      <c r="J8" s="7" t="s">
        <v>26</v>
      </c>
      <c r="K8" s="7" t="s">
        <v>89</v>
      </c>
      <c r="L8" s="11" t="s">
        <v>73</v>
      </c>
      <c r="M8" s="12" t="s">
        <v>61</v>
      </c>
      <c r="N8" s="12" t="s">
        <v>62</v>
      </c>
      <c r="O8" s="240">
        <v>45791.0</v>
      </c>
      <c r="P8" s="17">
        <f t="shared" si="4"/>
        <v>45851</v>
      </c>
      <c r="Q8" s="11" t="s">
        <v>635</v>
      </c>
      <c r="R8" s="24" t="s">
        <v>31</v>
      </c>
      <c r="S8" s="32" t="s">
        <v>63</v>
      </c>
      <c r="T8" s="32" t="s">
        <v>63</v>
      </c>
      <c r="U8" s="14" t="s">
        <v>31</v>
      </c>
    </row>
    <row r="9" ht="15.75" hidden="1" customHeight="1">
      <c r="A9" s="40" t="s">
        <v>115</v>
      </c>
      <c r="B9" s="61">
        <v>2.6550774E7</v>
      </c>
      <c r="C9" s="77" t="s">
        <v>636</v>
      </c>
      <c r="D9" s="241">
        <v>36104.0</v>
      </c>
      <c r="E9" s="234">
        <v>3.213768956E9</v>
      </c>
      <c r="F9" s="61" t="s">
        <v>637</v>
      </c>
      <c r="G9" s="60" t="s">
        <v>638</v>
      </c>
      <c r="H9" s="234">
        <f t="shared" si="1"/>
        <v>28</v>
      </c>
      <c r="I9" s="12" t="s">
        <v>67</v>
      </c>
      <c r="J9" s="7" t="s">
        <v>26</v>
      </c>
      <c r="K9" s="60" t="s">
        <v>89</v>
      </c>
      <c r="L9" s="7" t="s">
        <v>48</v>
      </c>
      <c r="M9" s="12" t="s">
        <v>61</v>
      </c>
      <c r="N9" s="12" t="s">
        <v>62</v>
      </c>
      <c r="O9" s="190">
        <v>45066.0</v>
      </c>
      <c r="P9" s="242">
        <f t="shared" ref="P9:P11" si="5">O9+90</f>
        <v>45156</v>
      </c>
      <c r="Q9" s="13">
        <v>45134.0</v>
      </c>
      <c r="R9" s="14" t="s">
        <v>31</v>
      </c>
      <c r="S9" s="15">
        <v>1000000.0</v>
      </c>
      <c r="T9" s="15">
        <v>500000.0</v>
      </c>
      <c r="U9" s="14" t="s">
        <v>31</v>
      </c>
    </row>
    <row r="10" ht="15.75" hidden="1" customHeight="1">
      <c r="A10" s="7" t="s">
        <v>21</v>
      </c>
      <c r="B10" s="11">
        <v>6732474.0</v>
      </c>
      <c r="C10" s="7" t="s">
        <v>639</v>
      </c>
      <c r="D10" s="13">
        <v>38051.0</v>
      </c>
      <c r="E10" s="7">
        <v>3.224630981E9</v>
      </c>
      <c r="F10" s="11" t="s">
        <v>640</v>
      </c>
      <c r="G10" s="11" t="s">
        <v>641</v>
      </c>
      <c r="H10" s="234">
        <f t="shared" si="1"/>
        <v>22</v>
      </c>
      <c r="I10" s="12" t="s">
        <v>67</v>
      </c>
      <c r="J10" s="7" t="s">
        <v>35</v>
      </c>
      <c r="K10" s="11" t="s">
        <v>36</v>
      </c>
      <c r="L10" s="7" t="s">
        <v>48</v>
      </c>
      <c r="M10" s="12" t="s">
        <v>61</v>
      </c>
      <c r="N10" s="12" t="s">
        <v>62</v>
      </c>
      <c r="O10" s="21">
        <v>44965.0</v>
      </c>
      <c r="P10" s="47">
        <f t="shared" si="5"/>
        <v>45055</v>
      </c>
      <c r="Q10" s="11" t="s">
        <v>642</v>
      </c>
      <c r="R10" s="14" t="s">
        <v>31</v>
      </c>
      <c r="S10" s="32" t="s">
        <v>63</v>
      </c>
      <c r="T10" s="32" t="s">
        <v>63</v>
      </c>
      <c r="U10" s="14" t="s">
        <v>31</v>
      </c>
    </row>
    <row r="11" ht="15.75" hidden="1" customHeight="1">
      <c r="A11" s="25" t="s">
        <v>21</v>
      </c>
      <c r="B11" s="121">
        <v>1008522.0</v>
      </c>
      <c r="C11" s="25" t="s">
        <v>643</v>
      </c>
      <c r="D11" s="78">
        <v>34420.0</v>
      </c>
      <c r="E11" s="25">
        <v>3.124486976E9</v>
      </c>
      <c r="F11" s="121" t="s">
        <v>644</v>
      </c>
      <c r="G11" s="25" t="s">
        <v>645</v>
      </c>
      <c r="H11" s="95">
        <f t="shared" si="1"/>
        <v>32</v>
      </c>
      <c r="I11" s="12" t="s">
        <v>67</v>
      </c>
      <c r="J11" s="7" t="s">
        <v>26</v>
      </c>
      <c r="K11" s="7" t="s">
        <v>89</v>
      </c>
      <c r="L11" s="7" t="s">
        <v>48</v>
      </c>
      <c r="M11" s="12" t="s">
        <v>61</v>
      </c>
      <c r="N11" s="12" t="s">
        <v>62</v>
      </c>
      <c r="O11" s="10">
        <v>45092.0</v>
      </c>
      <c r="P11" s="31">
        <f t="shared" si="5"/>
        <v>45182</v>
      </c>
      <c r="Q11" s="13">
        <v>45216.0</v>
      </c>
      <c r="R11" s="14" t="s">
        <v>31</v>
      </c>
      <c r="S11" s="15">
        <v>1160000.0</v>
      </c>
      <c r="T11" s="15">
        <v>580000.0</v>
      </c>
      <c r="U11" s="14" t="s">
        <v>31</v>
      </c>
    </row>
    <row r="12" ht="15.75" customHeight="1">
      <c r="A12" s="243" t="s">
        <v>21</v>
      </c>
      <c r="B12" s="238">
        <v>1246397.0</v>
      </c>
      <c r="C12" s="238" t="s">
        <v>646</v>
      </c>
      <c r="D12" s="244">
        <v>32513.0</v>
      </c>
      <c r="E12" s="245">
        <v>3.012446861E9</v>
      </c>
      <c r="F12" s="238" t="s">
        <v>647</v>
      </c>
      <c r="G12" s="238" t="s">
        <v>648</v>
      </c>
      <c r="H12" s="199">
        <f t="shared" si="1"/>
        <v>37</v>
      </c>
      <c r="I12" s="62" t="s">
        <v>67</v>
      </c>
      <c r="J12" s="7" t="s">
        <v>35</v>
      </c>
      <c r="K12" s="61" t="s">
        <v>36</v>
      </c>
      <c r="L12" s="11" t="s">
        <v>73</v>
      </c>
      <c r="M12" s="12" t="s">
        <v>61</v>
      </c>
      <c r="N12" s="12" t="s">
        <v>62</v>
      </c>
      <c r="O12" s="99">
        <v>45394.0</v>
      </c>
      <c r="P12" s="246">
        <f t="shared" ref="P12:P15" si="6">O12+60</f>
        <v>45454</v>
      </c>
      <c r="Q12" s="7"/>
      <c r="R12" s="12" t="s">
        <v>39</v>
      </c>
      <c r="S12" s="247" t="s">
        <v>63</v>
      </c>
      <c r="T12" s="247" t="s">
        <v>63</v>
      </c>
      <c r="U12" s="49" t="s">
        <v>649</v>
      </c>
    </row>
    <row r="13" ht="15.75" customHeight="1">
      <c r="A13" s="49" t="s">
        <v>267</v>
      </c>
      <c r="B13" s="129">
        <v>2.7651412E7</v>
      </c>
      <c r="C13" s="49" t="s">
        <v>622</v>
      </c>
      <c r="D13" s="166">
        <v>36310.0</v>
      </c>
      <c r="E13" s="49">
        <v>3.044244169E9</v>
      </c>
      <c r="F13" s="49" t="s">
        <v>650</v>
      </c>
      <c r="G13" s="49" t="s">
        <v>651</v>
      </c>
      <c r="H13" s="199">
        <f t="shared" si="1"/>
        <v>27</v>
      </c>
      <c r="I13" s="12" t="s">
        <v>67</v>
      </c>
      <c r="J13" s="95" t="s">
        <v>26</v>
      </c>
      <c r="K13" s="95" t="s">
        <v>89</v>
      </c>
      <c r="L13" s="149" t="s">
        <v>48</v>
      </c>
      <c r="M13" s="52" t="s">
        <v>61</v>
      </c>
      <c r="N13" s="52" t="s">
        <v>62</v>
      </c>
      <c r="O13" s="98">
        <v>45980.0</v>
      </c>
      <c r="P13" s="59">
        <f t="shared" si="6"/>
        <v>46040</v>
      </c>
      <c r="Q13" s="7"/>
      <c r="R13" s="12" t="s">
        <v>39</v>
      </c>
      <c r="S13" s="247" t="s">
        <v>63</v>
      </c>
      <c r="T13" s="247" t="s">
        <v>63</v>
      </c>
      <c r="U13" s="36" t="s">
        <v>229</v>
      </c>
    </row>
    <row r="14" ht="15.75" customHeight="1">
      <c r="A14" s="11" t="s">
        <v>50</v>
      </c>
      <c r="B14" s="129">
        <v>1.016119452E9</v>
      </c>
      <c r="C14" s="49" t="s">
        <v>652</v>
      </c>
      <c r="D14" s="166">
        <v>32948.0</v>
      </c>
      <c r="E14" s="49">
        <v>3.118372376E9</v>
      </c>
      <c r="F14" s="49" t="s">
        <v>653</v>
      </c>
      <c r="G14" s="49" t="s">
        <v>654</v>
      </c>
      <c r="H14" s="199">
        <f t="shared" si="1"/>
        <v>36</v>
      </c>
      <c r="I14" s="62" t="s">
        <v>25</v>
      </c>
      <c r="J14" s="7" t="s">
        <v>35</v>
      </c>
      <c r="K14" s="61" t="s">
        <v>36</v>
      </c>
      <c r="L14" s="11" t="s">
        <v>48</v>
      </c>
      <c r="M14" s="42" t="s">
        <v>61</v>
      </c>
      <c r="N14" s="42" t="s">
        <v>62</v>
      </c>
      <c r="O14" s="164">
        <v>45944.0</v>
      </c>
      <c r="P14" s="59">
        <f t="shared" si="6"/>
        <v>46004</v>
      </c>
      <c r="Q14" s="7"/>
      <c r="R14" s="12" t="s">
        <v>39</v>
      </c>
      <c r="S14" s="247" t="s">
        <v>63</v>
      </c>
      <c r="T14" s="247" t="s">
        <v>63</v>
      </c>
      <c r="U14" s="36" t="s">
        <v>655</v>
      </c>
    </row>
    <row r="15" ht="15.75" hidden="1" customHeight="1">
      <c r="A15" s="49" t="s">
        <v>50</v>
      </c>
      <c r="B15" s="97" t="s">
        <v>656</v>
      </c>
      <c r="C15" s="97" t="s">
        <v>657</v>
      </c>
      <c r="D15" s="248">
        <v>38256.0</v>
      </c>
      <c r="E15" s="97">
        <v>3.507795756E9</v>
      </c>
      <c r="F15" s="97" t="s">
        <v>658</v>
      </c>
      <c r="G15" s="97" t="s">
        <v>659</v>
      </c>
      <c r="H15" s="63">
        <f t="shared" si="1"/>
        <v>22</v>
      </c>
      <c r="I15" s="12" t="s">
        <v>67</v>
      </c>
      <c r="J15" s="7" t="s">
        <v>26</v>
      </c>
      <c r="K15" s="7" t="s">
        <v>89</v>
      </c>
      <c r="L15" s="11" t="s">
        <v>48</v>
      </c>
      <c r="M15" s="12" t="s">
        <v>61</v>
      </c>
      <c r="N15" s="12" t="s">
        <v>62</v>
      </c>
      <c r="O15" s="98">
        <v>45828.0</v>
      </c>
      <c r="P15" s="17">
        <f t="shared" si="6"/>
        <v>45888</v>
      </c>
      <c r="Q15" s="11" t="s">
        <v>660</v>
      </c>
      <c r="R15" s="24" t="s">
        <v>31</v>
      </c>
      <c r="S15" s="32" t="s">
        <v>63</v>
      </c>
      <c r="T15" s="32" t="s">
        <v>63</v>
      </c>
      <c r="U15" s="14" t="s">
        <v>31</v>
      </c>
    </row>
    <row r="16" ht="15.75" hidden="1" customHeight="1">
      <c r="A16" s="35" t="s">
        <v>21</v>
      </c>
      <c r="B16" s="249">
        <v>5997451.0</v>
      </c>
      <c r="C16" s="35" t="s">
        <v>661</v>
      </c>
      <c r="D16" s="229">
        <v>38108.0</v>
      </c>
      <c r="E16" s="35">
        <v>3.24363938E9</v>
      </c>
      <c r="F16" s="44" t="s">
        <v>662</v>
      </c>
      <c r="G16" s="35" t="s">
        <v>663</v>
      </c>
      <c r="H16" s="234">
        <f t="shared" si="1"/>
        <v>22</v>
      </c>
      <c r="I16" s="12" t="s">
        <v>25</v>
      </c>
      <c r="J16" s="7" t="s">
        <v>26</v>
      </c>
      <c r="K16" s="7" t="s">
        <v>89</v>
      </c>
      <c r="L16" s="7" t="s">
        <v>73</v>
      </c>
      <c r="M16" s="12" t="s">
        <v>61</v>
      </c>
      <c r="N16" s="12" t="s">
        <v>62</v>
      </c>
      <c r="O16" s="229">
        <v>44819.0</v>
      </c>
      <c r="P16" s="31">
        <f>O16+90</f>
        <v>44909</v>
      </c>
      <c r="Q16" s="33">
        <v>45014.0</v>
      </c>
      <c r="R16" s="14" t="s">
        <v>31</v>
      </c>
      <c r="S16" s="15">
        <v>1000000.0</v>
      </c>
      <c r="T16" s="15">
        <v>500000.0</v>
      </c>
      <c r="U16" s="14" t="s">
        <v>31</v>
      </c>
    </row>
    <row r="17" ht="15.75" hidden="1" customHeight="1">
      <c r="A17" s="35" t="s">
        <v>21</v>
      </c>
      <c r="B17" s="249">
        <v>5997451.0</v>
      </c>
      <c r="C17" s="35" t="s">
        <v>661</v>
      </c>
      <c r="D17" s="229">
        <v>38108.0</v>
      </c>
      <c r="E17" s="35">
        <v>3.24363938E9</v>
      </c>
      <c r="F17" s="44" t="s">
        <v>662</v>
      </c>
      <c r="G17" s="35" t="s">
        <v>663</v>
      </c>
      <c r="H17" s="234">
        <f t="shared" si="1"/>
        <v>22</v>
      </c>
      <c r="I17" s="12" t="s">
        <v>25</v>
      </c>
      <c r="J17" s="7" t="s">
        <v>26</v>
      </c>
      <c r="K17" s="7" t="s">
        <v>89</v>
      </c>
      <c r="L17" s="7" t="s">
        <v>73</v>
      </c>
      <c r="M17" s="12" t="s">
        <v>61</v>
      </c>
      <c r="N17" s="12" t="s">
        <v>62</v>
      </c>
      <c r="O17" s="229">
        <v>45303.0</v>
      </c>
      <c r="P17" s="31">
        <f>O17+60</f>
        <v>45363</v>
      </c>
      <c r="Q17" s="13">
        <v>45383.0</v>
      </c>
      <c r="R17" s="14" t="s">
        <v>31</v>
      </c>
      <c r="S17" s="15">
        <v>1300000.0</v>
      </c>
      <c r="T17" s="15">
        <v>650000.0</v>
      </c>
      <c r="U17" s="14" t="s">
        <v>31</v>
      </c>
    </row>
    <row r="18" ht="15.75" hidden="1" customHeight="1">
      <c r="A18" s="7" t="s">
        <v>50</v>
      </c>
      <c r="B18" s="11">
        <v>1.118873861E9</v>
      </c>
      <c r="C18" s="7" t="s">
        <v>664</v>
      </c>
      <c r="D18" s="33">
        <v>36186.0</v>
      </c>
      <c r="E18" s="7">
        <v>3.185406102E9</v>
      </c>
      <c r="F18" s="11" t="s">
        <v>665</v>
      </c>
      <c r="G18" s="7" t="s">
        <v>666</v>
      </c>
      <c r="H18" s="234">
        <f t="shared" si="1"/>
        <v>27</v>
      </c>
      <c r="I18" s="12" t="s">
        <v>25</v>
      </c>
      <c r="J18" s="7" t="s">
        <v>26</v>
      </c>
      <c r="K18" s="7" t="s">
        <v>89</v>
      </c>
      <c r="L18" s="7" t="s">
        <v>48</v>
      </c>
      <c r="M18" s="12" t="s">
        <v>61</v>
      </c>
      <c r="N18" s="12" t="s">
        <v>62</v>
      </c>
      <c r="O18" s="10">
        <v>45035.0</v>
      </c>
      <c r="P18" s="31">
        <f t="shared" ref="P18:P20" si="7">O18+90</f>
        <v>45125</v>
      </c>
      <c r="Q18" s="13">
        <v>45120.0</v>
      </c>
      <c r="R18" s="14" t="s">
        <v>31</v>
      </c>
      <c r="S18" s="15">
        <v>1000000.0</v>
      </c>
      <c r="T18" s="15">
        <v>500000.0</v>
      </c>
      <c r="U18" s="14" t="s">
        <v>31</v>
      </c>
    </row>
    <row r="19" ht="15.75" hidden="1" customHeight="1">
      <c r="A19" s="35" t="s">
        <v>50</v>
      </c>
      <c r="B19" s="227">
        <v>1.006005772E9</v>
      </c>
      <c r="C19" s="35" t="s">
        <v>667</v>
      </c>
      <c r="D19" s="250">
        <v>35092.0</v>
      </c>
      <c r="E19" s="228">
        <v>3.113173062E9</v>
      </c>
      <c r="F19" s="230" t="s">
        <v>668</v>
      </c>
      <c r="G19" s="228" t="s">
        <v>669</v>
      </c>
      <c r="H19" s="228">
        <f t="shared" si="1"/>
        <v>30</v>
      </c>
      <c r="I19" s="12" t="s">
        <v>25</v>
      </c>
      <c r="J19" s="7" t="s">
        <v>26</v>
      </c>
      <c r="K19" s="7" t="s">
        <v>89</v>
      </c>
      <c r="L19" s="7" t="s">
        <v>73</v>
      </c>
      <c r="M19" s="12" t="s">
        <v>61</v>
      </c>
      <c r="N19" s="12" t="s">
        <v>62</v>
      </c>
      <c r="O19" s="229">
        <v>44936.0</v>
      </c>
      <c r="P19" s="31">
        <f t="shared" si="7"/>
        <v>45026</v>
      </c>
      <c r="Q19" s="33">
        <v>45005.0</v>
      </c>
      <c r="R19" s="14" t="s">
        <v>31</v>
      </c>
      <c r="S19" s="15">
        <v>1000000.0</v>
      </c>
      <c r="T19" s="15">
        <v>500000.0</v>
      </c>
      <c r="U19" s="14" t="s">
        <v>31</v>
      </c>
    </row>
    <row r="20" ht="15.75" hidden="1" customHeight="1">
      <c r="A20" s="206" t="s">
        <v>115</v>
      </c>
      <c r="B20" s="206">
        <v>2.9564368E7</v>
      </c>
      <c r="C20" s="101" t="s">
        <v>670</v>
      </c>
      <c r="D20" s="31">
        <v>37389.0</v>
      </c>
      <c r="E20" s="101">
        <v>3.017535149E9</v>
      </c>
      <c r="F20" s="206" t="s">
        <v>671</v>
      </c>
      <c r="G20" s="101" t="s">
        <v>672</v>
      </c>
      <c r="H20" s="60">
        <f t="shared" si="1"/>
        <v>24</v>
      </c>
      <c r="I20" s="62" t="s">
        <v>25</v>
      </c>
      <c r="J20" s="7" t="s">
        <v>26</v>
      </c>
      <c r="K20" s="7" t="s">
        <v>89</v>
      </c>
      <c r="L20" s="7" t="s">
        <v>48</v>
      </c>
      <c r="M20" s="12" t="s">
        <v>61</v>
      </c>
      <c r="N20" s="12" t="s">
        <v>62</v>
      </c>
      <c r="O20" s="115">
        <v>45210.0</v>
      </c>
      <c r="P20" s="31">
        <f t="shared" si="7"/>
        <v>45300</v>
      </c>
      <c r="Q20" s="13">
        <v>45382.0</v>
      </c>
      <c r="R20" s="14" t="s">
        <v>31</v>
      </c>
      <c r="S20" s="15" t="s">
        <v>63</v>
      </c>
      <c r="T20" s="15" t="s">
        <v>63</v>
      </c>
      <c r="U20" s="14" t="s">
        <v>31</v>
      </c>
    </row>
    <row r="21" ht="15.75" hidden="1" customHeight="1">
      <c r="A21" s="40" t="s">
        <v>115</v>
      </c>
      <c r="B21" s="76">
        <v>2.9564368E7</v>
      </c>
      <c r="C21" s="121" t="s">
        <v>670</v>
      </c>
      <c r="D21" s="251">
        <v>37389.0</v>
      </c>
      <c r="E21" s="76">
        <v>3.502458351E9</v>
      </c>
      <c r="F21" s="76" t="s">
        <v>671</v>
      </c>
      <c r="G21" s="76" t="s">
        <v>673</v>
      </c>
      <c r="H21" s="150">
        <f t="shared" si="1"/>
        <v>24</v>
      </c>
      <c r="I21" s="42" t="s">
        <v>25</v>
      </c>
      <c r="J21" s="7" t="s">
        <v>26</v>
      </c>
      <c r="K21" s="7" t="s">
        <v>89</v>
      </c>
      <c r="L21" s="11" t="s">
        <v>73</v>
      </c>
      <c r="M21" s="12" t="s">
        <v>61</v>
      </c>
      <c r="N21" s="12" t="s">
        <v>62</v>
      </c>
      <c r="O21" s="135">
        <v>45657.0</v>
      </c>
      <c r="P21" s="21">
        <f t="shared" ref="P21:P23" si="8">O21+60</f>
        <v>45717</v>
      </c>
      <c r="Q21" s="11" t="s">
        <v>674</v>
      </c>
      <c r="R21" s="14" t="s">
        <v>31</v>
      </c>
      <c r="S21" s="100" t="s">
        <v>63</v>
      </c>
      <c r="T21" s="100" t="s">
        <v>63</v>
      </c>
      <c r="U21" s="14" t="s">
        <v>31</v>
      </c>
    </row>
    <row r="22" ht="15.75" hidden="1" customHeight="1">
      <c r="A22" s="148" t="s">
        <v>21</v>
      </c>
      <c r="B22" s="121">
        <v>5164265.0</v>
      </c>
      <c r="C22" s="148" t="s">
        <v>675</v>
      </c>
      <c r="D22" s="165">
        <v>35534.0</v>
      </c>
      <c r="E22" s="121">
        <v>3.24740582E9</v>
      </c>
      <c r="F22" s="121" t="s">
        <v>676</v>
      </c>
      <c r="G22" s="148" t="s">
        <v>677</v>
      </c>
      <c r="H22" s="150">
        <f t="shared" si="1"/>
        <v>29</v>
      </c>
      <c r="I22" s="42" t="s">
        <v>25</v>
      </c>
      <c r="J22" s="7" t="s">
        <v>35</v>
      </c>
      <c r="K22" s="11" t="s">
        <v>36</v>
      </c>
      <c r="L22" s="11" t="s">
        <v>28</v>
      </c>
      <c r="M22" s="12" t="s">
        <v>61</v>
      </c>
      <c r="N22" s="12" t="s">
        <v>62</v>
      </c>
      <c r="O22" s="164">
        <v>45627.0</v>
      </c>
      <c r="P22" s="17">
        <f t="shared" si="8"/>
        <v>45687</v>
      </c>
      <c r="Q22" s="22">
        <v>45969.0</v>
      </c>
      <c r="R22" s="24" t="s">
        <v>31</v>
      </c>
      <c r="S22" s="32" t="s">
        <v>63</v>
      </c>
      <c r="T22" s="32" t="s">
        <v>63</v>
      </c>
      <c r="U22" s="24" t="s">
        <v>31</v>
      </c>
    </row>
    <row r="23" ht="15.75" hidden="1" customHeight="1">
      <c r="A23" s="252" t="s">
        <v>50</v>
      </c>
      <c r="B23" s="253">
        <v>1.031125921E9</v>
      </c>
      <c r="C23" s="252" t="s">
        <v>678</v>
      </c>
      <c r="D23" s="254">
        <v>38311.0</v>
      </c>
      <c r="E23" s="255">
        <v>3.242120541E9</v>
      </c>
      <c r="F23" s="255" t="s">
        <v>679</v>
      </c>
      <c r="G23" s="255" t="s">
        <v>680</v>
      </c>
      <c r="H23" s="199">
        <f t="shared" si="1"/>
        <v>22</v>
      </c>
      <c r="I23" s="102" t="s">
        <v>25</v>
      </c>
      <c r="J23" s="7" t="s">
        <v>26</v>
      </c>
      <c r="K23" s="60" t="s">
        <v>89</v>
      </c>
      <c r="L23" s="7" t="s">
        <v>28</v>
      </c>
      <c r="M23" s="12" t="s">
        <v>61</v>
      </c>
      <c r="N23" s="12" t="s">
        <v>62</v>
      </c>
      <c r="O23" s="240">
        <v>45804.0</v>
      </c>
      <c r="P23" s="59">
        <f t="shared" si="8"/>
        <v>45864</v>
      </c>
      <c r="Q23" s="22">
        <v>45907.0</v>
      </c>
      <c r="R23" s="24" t="s">
        <v>31</v>
      </c>
      <c r="S23" s="32" t="s">
        <v>63</v>
      </c>
      <c r="T23" s="32" t="s">
        <v>63</v>
      </c>
      <c r="U23" s="14" t="s">
        <v>31</v>
      </c>
    </row>
    <row r="24" ht="15.75" hidden="1" customHeight="1">
      <c r="A24" s="11" t="s">
        <v>115</v>
      </c>
      <c r="B24" s="11">
        <v>3.1593846E7</v>
      </c>
      <c r="C24" s="7" t="s">
        <v>681</v>
      </c>
      <c r="D24" s="13">
        <v>38465.0</v>
      </c>
      <c r="E24" s="7">
        <v>3.024306516E9</v>
      </c>
      <c r="F24" s="11" t="s">
        <v>682</v>
      </c>
      <c r="G24" s="7" t="s">
        <v>631</v>
      </c>
      <c r="H24" s="228">
        <f t="shared" si="1"/>
        <v>21</v>
      </c>
      <c r="I24" s="12" t="s">
        <v>25</v>
      </c>
      <c r="J24" s="7" t="s">
        <v>26</v>
      </c>
      <c r="K24" s="7" t="s">
        <v>89</v>
      </c>
      <c r="L24" s="7" t="s">
        <v>73</v>
      </c>
      <c r="M24" s="12" t="s">
        <v>61</v>
      </c>
      <c r="N24" s="12" t="s">
        <v>62</v>
      </c>
      <c r="O24" s="10">
        <v>45073.0</v>
      </c>
      <c r="P24" s="31">
        <f t="shared" ref="P24:P25" si="9">O24+90</f>
        <v>45163</v>
      </c>
      <c r="Q24" s="13">
        <v>45344.0</v>
      </c>
      <c r="R24" s="14" t="s">
        <v>31</v>
      </c>
      <c r="S24" s="15">
        <v>1300000.0</v>
      </c>
      <c r="T24" s="15">
        <v>650000.0</v>
      </c>
      <c r="U24" s="14" t="s">
        <v>31</v>
      </c>
    </row>
    <row r="25" ht="15.75" hidden="1" customHeight="1">
      <c r="A25" s="11" t="s">
        <v>115</v>
      </c>
      <c r="B25" s="11">
        <v>3.0182077E7</v>
      </c>
      <c r="C25" s="7" t="s">
        <v>683</v>
      </c>
      <c r="D25" s="13">
        <v>37902.0</v>
      </c>
      <c r="E25" s="7">
        <v>3.124702246E9</v>
      </c>
      <c r="F25" s="11" t="s">
        <v>684</v>
      </c>
      <c r="G25" s="7" t="s">
        <v>685</v>
      </c>
      <c r="H25" s="228">
        <f t="shared" si="1"/>
        <v>23</v>
      </c>
      <c r="I25" s="12" t="s">
        <v>25</v>
      </c>
      <c r="J25" s="7" t="s">
        <v>26</v>
      </c>
      <c r="K25" s="7" t="s">
        <v>89</v>
      </c>
      <c r="L25" s="7" t="s">
        <v>73</v>
      </c>
      <c r="M25" s="12" t="s">
        <v>61</v>
      </c>
      <c r="N25" s="12" t="s">
        <v>62</v>
      </c>
      <c r="O25" s="10">
        <v>45070.0</v>
      </c>
      <c r="P25" s="31">
        <f t="shared" si="9"/>
        <v>45160</v>
      </c>
      <c r="Q25" s="13">
        <v>45146.0</v>
      </c>
      <c r="R25" s="14" t="s">
        <v>31</v>
      </c>
      <c r="S25" s="15">
        <v>1000000.0</v>
      </c>
      <c r="T25" s="15">
        <v>500000.0</v>
      </c>
      <c r="U25" s="14" t="s">
        <v>31</v>
      </c>
    </row>
    <row r="26" ht="15.75" hidden="1" customHeight="1">
      <c r="A26" s="97" t="s">
        <v>50</v>
      </c>
      <c r="B26" s="107">
        <v>1.031125921E9</v>
      </c>
      <c r="C26" s="107" t="s">
        <v>678</v>
      </c>
      <c r="D26" s="256">
        <v>38311.0</v>
      </c>
      <c r="E26" s="107">
        <v>3.242120541E9</v>
      </c>
      <c r="F26" s="107" t="s">
        <v>686</v>
      </c>
      <c r="G26" s="107" t="s">
        <v>680</v>
      </c>
      <c r="H26" s="63">
        <f t="shared" si="1"/>
        <v>22</v>
      </c>
      <c r="I26" s="12" t="s">
        <v>25</v>
      </c>
      <c r="J26" s="7" t="s">
        <v>35</v>
      </c>
      <c r="K26" s="11" t="s">
        <v>36</v>
      </c>
      <c r="L26" s="7" t="s">
        <v>28</v>
      </c>
      <c r="M26" s="12" t="s">
        <v>61</v>
      </c>
      <c r="N26" s="12" t="s">
        <v>62</v>
      </c>
      <c r="O26" s="257">
        <v>45618.0</v>
      </c>
      <c r="P26" s="21">
        <f>O26+60</f>
        <v>45678</v>
      </c>
      <c r="Q26" s="22">
        <v>45965.0</v>
      </c>
      <c r="R26" s="14" t="s">
        <v>31</v>
      </c>
      <c r="S26" s="100" t="s">
        <v>63</v>
      </c>
      <c r="T26" s="100" t="s">
        <v>63</v>
      </c>
      <c r="U26" s="14" t="s">
        <v>31</v>
      </c>
    </row>
    <row r="27" ht="15.75" hidden="1" customHeight="1">
      <c r="A27" s="7" t="s">
        <v>50</v>
      </c>
      <c r="B27" s="11">
        <v>1.000936611E9</v>
      </c>
      <c r="C27" s="7" t="s">
        <v>687</v>
      </c>
      <c r="D27" s="13">
        <v>37291.0</v>
      </c>
      <c r="E27" s="7">
        <v>3.23664862E9</v>
      </c>
      <c r="F27" s="11" t="s">
        <v>688</v>
      </c>
      <c r="G27" s="7" t="s">
        <v>689</v>
      </c>
      <c r="H27" s="95">
        <f t="shared" si="1"/>
        <v>24</v>
      </c>
      <c r="I27" s="258" t="s">
        <v>25</v>
      </c>
      <c r="J27" s="7" t="s">
        <v>26</v>
      </c>
      <c r="K27" s="7" t="s">
        <v>89</v>
      </c>
      <c r="L27" s="7" t="s">
        <v>28</v>
      </c>
      <c r="M27" s="12" t="s">
        <v>61</v>
      </c>
      <c r="N27" s="12" t="s">
        <v>62</v>
      </c>
      <c r="O27" s="10">
        <v>45177.0</v>
      </c>
      <c r="P27" s="31">
        <f t="shared" ref="P27:P33" si="10">O27+90</f>
        <v>45267</v>
      </c>
      <c r="Q27" s="13">
        <v>41203.0</v>
      </c>
      <c r="R27" s="14" t="s">
        <v>31</v>
      </c>
      <c r="S27" s="15">
        <v>1160000.0</v>
      </c>
      <c r="T27" s="15">
        <v>580000.0</v>
      </c>
      <c r="U27" s="14" t="s">
        <v>31</v>
      </c>
    </row>
    <row r="28" ht="15.75" hidden="1" customHeight="1">
      <c r="A28" s="7" t="s">
        <v>50</v>
      </c>
      <c r="B28" s="11">
        <v>1.005712494E9</v>
      </c>
      <c r="C28" s="7" t="s">
        <v>690</v>
      </c>
      <c r="D28" s="13">
        <v>37222.0</v>
      </c>
      <c r="E28" s="7" t="s">
        <v>691</v>
      </c>
      <c r="F28" s="11" t="s">
        <v>692</v>
      </c>
      <c r="G28" s="7" t="s">
        <v>693</v>
      </c>
      <c r="H28" s="234">
        <f t="shared" si="1"/>
        <v>25</v>
      </c>
      <c r="I28" s="12" t="s">
        <v>67</v>
      </c>
      <c r="J28" s="7" t="s">
        <v>26</v>
      </c>
      <c r="K28" s="7" t="s">
        <v>89</v>
      </c>
      <c r="L28" s="7" t="s">
        <v>48</v>
      </c>
      <c r="M28" s="12" t="s">
        <v>61</v>
      </c>
      <c r="N28" s="12" t="s">
        <v>62</v>
      </c>
      <c r="O28" s="10">
        <v>45062.0</v>
      </c>
      <c r="P28" s="31">
        <f t="shared" si="10"/>
        <v>45152</v>
      </c>
      <c r="Q28" s="13">
        <v>45139.0</v>
      </c>
      <c r="R28" s="14" t="s">
        <v>31</v>
      </c>
      <c r="S28" s="15">
        <v>1000000.0</v>
      </c>
      <c r="T28" s="15">
        <v>500000.0</v>
      </c>
      <c r="U28" s="14" t="s">
        <v>31</v>
      </c>
    </row>
    <row r="29" ht="15.75" hidden="1" customHeight="1">
      <c r="A29" s="25" t="s">
        <v>50</v>
      </c>
      <c r="B29" s="121">
        <v>1.033823939E9</v>
      </c>
      <c r="C29" s="25" t="s">
        <v>694</v>
      </c>
      <c r="D29" s="78">
        <v>34904.0</v>
      </c>
      <c r="E29" s="25">
        <v>3.127636536E9</v>
      </c>
      <c r="F29" s="121" t="s">
        <v>695</v>
      </c>
      <c r="G29" s="121" t="s">
        <v>696</v>
      </c>
      <c r="H29" s="95">
        <f t="shared" si="1"/>
        <v>31</v>
      </c>
      <c r="I29" s="12" t="s">
        <v>25</v>
      </c>
      <c r="J29" s="7" t="s">
        <v>35</v>
      </c>
      <c r="K29" s="11" t="s">
        <v>36</v>
      </c>
      <c r="L29" s="7" t="s">
        <v>48</v>
      </c>
      <c r="M29" s="12" t="s">
        <v>61</v>
      </c>
      <c r="N29" s="12" t="s">
        <v>62</v>
      </c>
      <c r="O29" s="21">
        <v>45132.0</v>
      </c>
      <c r="P29" s="47">
        <f t="shared" si="10"/>
        <v>45222</v>
      </c>
      <c r="Q29" s="22">
        <v>45781.0</v>
      </c>
      <c r="R29" s="14" t="s">
        <v>31</v>
      </c>
      <c r="S29" s="32" t="s">
        <v>63</v>
      </c>
      <c r="T29" s="32" t="s">
        <v>63</v>
      </c>
      <c r="U29" s="14" t="s">
        <v>31</v>
      </c>
    </row>
    <row r="30" ht="15.75" hidden="1" customHeight="1">
      <c r="A30" s="7" t="s">
        <v>260</v>
      </c>
      <c r="B30" s="11">
        <v>1.38810566E8</v>
      </c>
      <c r="C30" s="7" t="s">
        <v>697</v>
      </c>
      <c r="D30" s="13">
        <v>37913.0</v>
      </c>
      <c r="E30" s="7">
        <v>3.2127283E9</v>
      </c>
      <c r="F30" s="11" t="s">
        <v>698</v>
      </c>
      <c r="G30" s="7" t="s">
        <v>699</v>
      </c>
      <c r="H30" s="95">
        <f t="shared" si="1"/>
        <v>23</v>
      </c>
      <c r="I30" s="258" t="s">
        <v>25</v>
      </c>
      <c r="J30" s="7" t="s">
        <v>26</v>
      </c>
      <c r="K30" s="7" t="s">
        <v>89</v>
      </c>
      <c r="L30" s="7" t="s">
        <v>73</v>
      </c>
      <c r="M30" s="12" t="s">
        <v>61</v>
      </c>
      <c r="N30" s="12" t="s">
        <v>62</v>
      </c>
      <c r="O30" s="10">
        <v>45133.0</v>
      </c>
      <c r="P30" s="31">
        <f t="shared" si="10"/>
        <v>45223</v>
      </c>
      <c r="Q30" s="13">
        <v>45147.0</v>
      </c>
      <c r="R30" s="14" t="s">
        <v>31</v>
      </c>
      <c r="S30" s="15">
        <v>1000000.0</v>
      </c>
      <c r="T30" s="15">
        <v>500000.0</v>
      </c>
      <c r="U30" s="14" t="s">
        <v>31</v>
      </c>
    </row>
    <row r="31" ht="15.75" hidden="1" customHeight="1">
      <c r="A31" s="35" t="s">
        <v>50</v>
      </c>
      <c r="B31" s="249">
        <v>1.023913897E9</v>
      </c>
      <c r="C31" s="35" t="s">
        <v>700</v>
      </c>
      <c r="D31" s="229">
        <v>37700.0</v>
      </c>
      <c r="E31" s="35">
        <v>3.172766382E9</v>
      </c>
      <c r="F31" s="44" t="s">
        <v>701</v>
      </c>
      <c r="G31" s="35" t="s">
        <v>702</v>
      </c>
      <c r="H31" s="234">
        <f t="shared" si="1"/>
        <v>23</v>
      </c>
      <c r="I31" s="12" t="s">
        <v>67</v>
      </c>
      <c r="J31" s="7" t="s">
        <v>26</v>
      </c>
      <c r="K31" s="7" t="s">
        <v>89</v>
      </c>
      <c r="L31" s="7" t="s">
        <v>48</v>
      </c>
      <c r="M31" s="12" t="s">
        <v>61</v>
      </c>
      <c r="N31" s="12" t="s">
        <v>62</v>
      </c>
      <c r="O31" s="229">
        <v>44819.0</v>
      </c>
      <c r="P31" s="31">
        <f t="shared" si="10"/>
        <v>44909</v>
      </c>
      <c r="Q31" s="33">
        <v>45036.0</v>
      </c>
      <c r="R31" s="14" t="s">
        <v>31</v>
      </c>
      <c r="S31" s="15">
        <v>1000000.0</v>
      </c>
      <c r="T31" s="15">
        <v>500000.0</v>
      </c>
      <c r="U31" s="14" t="s">
        <v>31</v>
      </c>
    </row>
    <row r="32" ht="15.75" hidden="1" customHeight="1">
      <c r="A32" s="34" t="s">
        <v>21</v>
      </c>
      <c r="B32" s="61">
        <v>6423300.0</v>
      </c>
      <c r="C32" s="234" t="s">
        <v>703</v>
      </c>
      <c r="D32" s="235">
        <v>37169.0</v>
      </c>
      <c r="E32" s="234">
        <v>3.209147178E9</v>
      </c>
      <c r="F32" s="236" t="s">
        <v>704</v>
      </c>
      <c r="G32" s="234" t="s">
        <v>705</v>
      </c>
      <c r="H32" s="35">
        <f t="shared" si="1"/>
        <v>25</v>
      </c>
      <c r="I32" s="12" t="s">
        <v>67</v>
      </c>
      <c r="J32" s="7" t="s">
        <v>35</v>
      </c>
      <c r="K32" s="7" t="s">
        <v>27</v>
      </c>
      <c r="L32" s="7" t="s">
        <v>48</v>
      </c>
      <c r="M32" s="12" t="s">
        <v>29</v>
      </c>
      <c r="N32" s="12" t="s">
        <v>30</v>
      </c>
      <c r="O32" s="259">
        <v>43525.0</v>
      </c>
      <c r="P32" s="31">
        <f t="shared" si="10"/>
        <v>43615</v>
      </c>
      <c r="Q32" s="13">
        <v>45350.0</v>
      </c>
      <c r="R32" s="14" t="s">
        <v>31</v>
      </c>
      <c r="S32" s="15">
        <v>1700000.0</v>
      </c>
      <c r="T32" s="15">
        <v>850000.0</v>
      </c>
      <c r="U32" s="14" t="s">
        <v>31</v>
      </c>
    </row>
    <row r="33" ht="15.75" hidden="1" customHeight="1">
      <c r="A33" s="40" t="s">
        <v>115</v>
      </c>
      <c r="B33" s="61">
        <v>2.8082484E7</v>
      </c>
      <c r="C33" s="60" t="s">
        <v>706</v>
      </c>
      <c r="D33" s="231">
        <v>36868.0</v>
      </c>
      <c r="E33" s="60">
        <v>3.145930901E9</v>
      </c>
      <c r="F33" s="61" t="s">
        <v>707</v>
      </c>
      <c r="G33" s="60" t="s">
        <v>266</v>
      </c>
      <c r="H33" s="234">
        <f t="shared" si="1"/>
        <v>26</v>
      </c>
      <c r="I33" s="12" t="s">
        <v>25</v>
      </c>
      <c r="J33" s="7" t="s">
        <v>26</v>
      </c>
      <c r="K33" s="7" t="s">
        <v>89</v>
      </c>
      <c r="L33" s="7" t="s">
        <v>48</v>
      </c>
      <c r="M33" s="12" t="s">
        <v>61</v>
      </c>
      <c r="N33" s="12" t="s">
        <v>62</v>
      </c>
      <c r="O33" s="80">
        <v>45189.0</v>
      </c>
      <c r="P33" s="31">
        <f t="shared" si="10"/>
        <v>45279</v>
      </c>
      <c r="Q33" s="13">
        <v>45278.0</v>
      </c>
      <c r="R33" s="14" t="s">
        <v>31</v>
      </c>
      <c r="S33" s="15">
        <v>1160000.0</v>
      </c>
      <c r="T33" s="15">
        <v>580000.0</v>
      </c>
      <c r="U33" s="14" t="s">
        <v>31</v>
      </c>
    </row>
    <row r="34" ht="15.75" customHeight="1">
      <c r="A34" s="200" t="s">
        <v>267</v>
      </c>
      <c r="B34" s="193">
        <v>3.0211028E7</v>
      </c>
      <c r="C34" s="196" t="s">
        <v>708</v>
      </c>
      <c r="D34" s="260">
        <v>38634.0</v>
      </c>
      <c r="E34" s="196">
        <v>3.2324953E9</v>
      </c>
      <c r="F34" s="196" t="s">
        <v>709</v>
      </c>
      <c r="G34" s="196" t="s">
        <v>710</v>
      </c>
      <c r="H34" s="199">
        <f t="shared" si="1"/>
        <v>21</v>
      </c>
      <c r="I34" s="12" t="s">
        <v>25</v>
      </c>
      <c r="J34" s="95" t="s">
        <v>26</v>
      </c>
      <c r="K34" s="79" t="s">
        <v>89</v>
      </c>
      <c r="L34" s="261" t="s">
        <v>73</v>
      </c>
      <c r="M34" s="52" t="s">
        <v>61</v>
      </c>
      <c r="N34" s="52" t="s">
        <v>62</v>
      </c>
      <c r="O34" s="98">
        <v>46027.0</v>
      </c>
      <c r="P34" s="59">
        <f t="shared" ref="P34:P36" si="11">O34+60</f>
        <v>46087</v>
      </c>
      <c r="Q34" s="7"/>
      <c r="R34" s="12" t="s">
        <v>39</v>
      </c>
      <c r="S34" s="247" t="s">
        <v>63</v>
      </c>
      <c r="T34" s="247" t="s">
        <v>63</v>
      </c>
      <c r="U34" s="36" t="s">
        <v>229</v>
      </c>
    </row>
    <row r="35" ht="15.75" customHeight="1">
      <c r="A35" s="262" t="s">
        <v>21</v>
      </c>
      <c r="B35" s="263">
        <v>6045040.0</v>
      </c>
      <c r="C35" s="264" t="s">
        <v>711</v>
      </c>
      <c r="D35" s="265">
        <v>36046.0</v>
      </c>
      <c r="E35" s="266">
        <v>3.132410038E9</v>
      </c>
      <c r="F35" s="267" t="s">
        <v>712</v>
      </c>
      <c r="G35" s="196" t="s">
        <v>713</v>
      </c>
      <c r="H35" s="150">
        <f t="shared" si="1"/>
        <v>28</v>
      </c>
      <c r="I35" s="12" t="s">
        <v>67</v>
      </c>
      <c r="J35" s="7" t="s">
        <v>26</v>
      </c>
      <c r="K35" s="7" t="s">
        <v>89</v>
      </c>
      <c r="L35" s="7" t="s">
        <v>48</v>
      </c>
      <c r="M35" s="12" t="s">
        <v>61</v>
      </c>
      <c r="N35" s="12" t="s">
        <v>62</v>
      </c>
      <c r="O35" s="268">
        <v>45694.0</v>
      </c>
      <c r="P35" s="17">
        <f t="shared" si="11"/>
        <v>45754</v>
      </c>
      <c r="Q35" s="7"/>
      <c r="R35" s="12" t="s">
        <v>39</v>
      </c>
      <c r="S35" s="32" t="s">
        <v>63</v>
      </c>
      <c r="T35" s="32" t="s">
        <v>63</v>
      </c>
      <c r="U35" s="49" t="s">
        <v>714</v>
      </c>
    </row>
    <row r="36" ht="15.75" hidden="1" customHeight="1">
      <c r="A36" s="7" t="s">
        <v>21</v>
      </c>
      <c r="B36" s="8">
        <v>1450260.0</v>
      </c>
      <c r="C36" s="9" t="s">
        <v>209</v>
      </c>
      <c r="D36" s="10">
        <v>35153.0</v>
      </c>
      <c r="E36" s="7">
        <v>3.022643583E9</v>
      </c>
      <c r="F36" s="11" t="s">
        <v>210</v>
      </c>
      <c r="G36" s="11" t="s">
        <v>715</v>
      </c>
      <c r="H36" s="7">
        <f t="shared" si="1"/>
        <v>30</v>
      </c>
      <c r="I36" s="12" t="s">
        <v>67</v>
      </c>
      <c r="J36" s="7" t="s">
        <v>35</v>
      </c>
      <c r="K36" s="11" t="s">
        <v>36</v>
      </c>
      <c r="L36" s="7" t="s">
        <v>73</v>
      </c>
      <c r="M36" s="12" t="s">
        <v>61</v>
      </c>
      <c r="N36" s="12" t="s">
        <v>62</v>
      </c>
      <c r="O36" s="21">
        <v>45440.0</v>
      </c>
      <c r="P36" s="189">
        <f t="shared" si="11"/>
        <v>45500</v>
      </c>
      <c r="Q36" s="22">
        <v>45934.0</v>
      </c>
      <c r="R36" s="14" t="s">
        <v>31</v>
      </c>
      <c r="S36" s="247" t="s">
        <v>63</v>
      </c>
      <c r="T36" s="247" t="s">
        <v>63</v>
      </c>
      <c r="U36" s="14" t="s">
        <v>31</v>
      </c>
    </row>
    <row r="37" ht="15.75" hidden="1" customHeight="1">
      <c r="A37" s="11" t="s">
        <v>115</v>
      </c>
      <c r="B37" s="11">
        <v>2.9729113E7</v>
      </c>
      <c r="C37" s="7" t="s">
        <v>716</v>
      </c>
      <c r="D37" s="13">
        <v>36994.0</v>
      </c>
      <c r="E37" s="7">
        <v>3.228212355E9</v>
      </c>
      <c r="F37" s="11" t="s">
        <v>717</v>
      </c>
      <c r="G37" s="7" t="s">
        <v>718</v>
      </c>
      <c r="H37" s="7">
        <f t="shared" si="1"/>
        <v>25</v>
      </c>
      <c r="I37" s="12" t="s">
        <v>67</v>
      </c>
      <c r="J37" s="7" t="s">
        <v>26</v>
      </c>
      <c r="K37" s="7" t="s">
        <v>89</v>
      </c>
      <c r="L37" s="7" t="s">
        <v>73</v>
      </c>
      <c r="M37" s="12" t="s">
        <v>61</v>
      </c>
      <c r="N37" s="12" t="s">
        <v>62</v>
      </c>
      <c r="O37" s="10">
        <v>45175.0</v>
      </c>
      <c r="P37" s="31">
        <f t="shared" ref="P37:P41" si="12">O37+90</f>
        <v>45265</v>
      </c>
      <c r="Q37" s="13">
        <v>45265.0</v>
      </c>
      <c r="R37" s="14" t="s">
        <v>31</v>
      </c>
      <c r="S37" s="15">
        <v>1160000.0</v>
      </c>
      <c r="T37" s="15">
        <v>580000.0</v>
      </c>
      <c r="U37" s="14" t="s">
        <v>31</v>
      </c>
    </row>
    <row r="38" ht="15.75" hidden="1" customHeight="1">
      <c r="A38" s="35" t="s">
        <v>21</v>
      </c>
      <c r="B38" s="249">
        <v>5092923.0</v>
      </c>
      <c r="C38" s="35" t="s">
        <v>719</v>
      </c>
      <c r="D38" s="229">
        <v>35697.0</v>
      </c>
      <c r="E38" s="35">
        <v>3.044366178E9</v>
      </c>
      <c r="F38" s="44" t="s">
        <v>720</v>
      </c>
      <c r="G38" s="35" t="s">
        <v>721</v>
      </c>
      <c r="H38" s="35">
        <f t="shared" si="1"/>
        <v>29</v>
      </c>
      <c r="I38" s="12" t="s">
        <v>67</v>
      </c>
      <c r="J38" s="7" t="s">
        <v>35</v>
      </c>
      <c r="K38" s="11" t="s">
        <v>36</v>
      </c>
      <c r="L38" s="7" t="s">
        <v>28</v>
      </c>
      <c r="M38" s="12" t="s">
        <v>61</v>
      </c>
      <c r="N38" s="12" t="s">
        <v>62</v>
      </c>
      <c r="O38" s="269">
        <v>44879.0</v>
      </c>
      <c r="P38" s="47">
        <f t="shared" si="12"/>
        <v>44969</v>
      </c>
      <c r="Q38" s="22">
        <v>45965.0</v>
      </c>
      <c r="R38" s="14" t="s">
        <v>31</v>
      </c>
      <c r="S38" s="32" t="s">
        <v>63</v>
      </c>
      <c r="T38" s="32" t="s">
        <v>63</v>
      </c>
      <c r="U38" s="14" t="s">
        <v>31</v>
      </c>
    </row>
    <row r="39" ht="15.75" hidden="1" customHeight="1">
      <c r="A39" s="126" t="s">
        <v>50</v>
      </c>
      <c r="B39" s="270">
        <v>1.007166064E9</v>
      </c>
      <c r="C39" s="42" t="s">
        <v>722</v>
      </c>
      <c r="D39" s="271">
        <v>37848.0</v>
      </c>
      <c r="E39" s="127">
        <v>3.133773415E9</v>
      </c>
      <c r="F39" s="36" t="s">
        <v>723</v>
      </c>
      <c r="G39" s="12" t="s">
        <v>724</v>
      </c>
      <c r="H39" s="7">
        <f t="shared" si="1"/>
        <v>23</v>
      </c>
      <c r="I39" s="12" t="s">
        <v>25</v>
      </c>
      <c r="J39" s="7" t="s">
        <v>26</v>
      </c>
      <c r="K39" s="7" t="s">
        <v>89</v>
      </c>
      <c r="L39" s="7" t="s">
        <v>48</v>
      </c>
      <c r="M39" s="12" t="s">
        <v>61</v>
      </c>
      <c r="N39" s="12" t="s">
        <v>62</v>
      </c>
      <c r="O39" s="91">
        <v>44998.0</v>
      </c>
      <c r="P39" s="31">
        <f t="shared" si="12"/>
        <v>45088</v>
      </c>
      <c r="Q39" s="33">
        <v>45015.0</v>
      </c>
      <c r="R39" s="14" t="s">
        <v>31</v>
      </c>
      <c r="S39" s="15">
        <v>1000000.0</v>
      </c>
      <c r="T39" s="15">
        <v>500000.0</v>
      </c>
      <c r="U39" s="14" t="s">
        <v>31</v>
      </c>
    </row>
    <row r="40" ht="15.75" hidden="1" customHeight="1">
      <c r="A40" s="7" t="s">
        <v>21</v>
      </c>
      <c r="B40" s="61">
        <v>5731332.0</v>
      </c>
      <c r="C40" s="60" t="s">
        <v>725</v>
      </c>
      <c r="D40" s="241">
        <v>37496.0</v>
      </c>
      <c r="E40" s="60">
        <v>3.214091969E9</v>
      </c>
      <c r="F40" s="61" t="s">
        <v>726</v>
      </c>
      <c r="G40" s="61" t="s">
        <v>727</v>
      </c>
      <c r="H40" s="95">
        <f t="shared" si="1"/>
        <v>24</v>
      </c>
      <c r="I40" s="12" t="s">
        <v>67</v>
      </c>
      <c r="J40" s="7" t="s">
        <v>35</v>
      </c>
      <c r="K40" s="11" t="s">
        <v>36</v>
      </c>
      <c r="L40" s="7" t="s">
        <v>28</v>
      </c>
      <c r="M40" s="12" t="s">
        <v>61</v>
      </c>
      <c r="N40" s="12" t="s">
        <v>62</v>
      </c>
      <c r="O40" s="203">
        <v>45199.0</v>
      </c>
      <c r="P40" s="47">
        <f t="shared" si="12"/>
        <v>45289</v>
      </c>
      <c r="Q40" s="11" t="s">
        <v>728</v>
      </c>
      <c r="R40" s="14" t="s">
        <v>31</v>
      </c>
      <c r="S40" s="32" t="s">
        <v>63</v>
      </c>
      <c r="T40" s="32" t="s">
        <v>63</v>
      </c>
      <c r="U40" s="14" t="s">
        <v>31</v>
      </c>
    </row>
    <row r="41" ht="15.75" hidden="1" customHeight="1">
      <c r="A41" s="232" t="s">
        <v>50</v>
      </c>
      <c r="B41" s="233">
        <v>1.001287015E9</v>
      </c>
      <c r="C41" s="234" t="s">
        <v>729</v>
      </c>
      <c r="D41" s="259">
        <v>37834.0</v>
      </c>
      <c r="E41" s="234">
        <v>3.125499249E9</v>
      </c>
      <c r="F41" s="236" t="s">
        <v>730</v>
      </c>
      <c r="G41" s="234" t="s">
        <v>731</v>
      </c>
      <c r="H41" s="234">
        <f t="shared" si="1"/>
        <v>23</v>
      </c>
      <c r="I41" s="12" t="s">
        <v>25</v>
      </c>
      <c r="J41" s="7" t="s">
        <v>26</v>
      </c>
      <c r="K41" s="7" t="s">
        <v>89</v>
      </c>
      <c r="L41" s="7" t="s">
        <v>48</v>
      </c>
      <c r="M41" s="12" t="s">
        <v>61</v>
      </c>
      <c r="N41" s="12" t="s">
        <v>62</v>
      </c>
      <c r="O41" s="259">
        <v>44935.0</v>
      </c>
      <c r="P41" s="242">
        <f t="shared" si="12"/>
        <v>45025</v>
      </c>
      <c r="Q41" s="13">
        <v>45054.0</v>
      </c>
      <c r="R41" s="14" t="s">
        <v>31</v>
      </c>
      <c r="S41" s="106">
        <v>1000000.0</v>
      </c>
      <c r="T41" s="106">
        <v>500000.0</v>
      </c>
      <c r="U41" s="14" t="s">
        <v>31</v>
      </c>
    </row>
    <row r="42" ht="15.75" customHeight="1">
      <c r="A42" s="121" t="s">
        <v>21</v>
      </c>
      <c r="B42" s="120">
        <v>3.0160955E7</v>
      </c>
      <c r="C42" s="97" t="s">
        <v>732</v>
      </c>
      <c r="D42" s="248">
        <v>37720.0</v>
      </c>
      <c r="E42" s="97">
        <v>3.005033756E9</v>
      </c>
      <c r="F42" s="97" t="s">
        <v>733</v>
      </c>
      <c r="G42" s="97" t="s">
        <v>734</v>
      </c>
      <c r="H42" s="199">
        <f t="shared" si="1"/>
        <v>23</v>
      </c>
      <c r="I42" s="36" t="s">
        <v>67</v>
      </c>
      <c r="J42" s="7" t="s">
        <v>26</v>
      </c>
      <c r="K42" s="7" t="s">
        <v>89</v>
      </c>
      <c r="L42" s="11" t="s">
        <v>28</v>
      </c>
      <c r="M42" s="36" t="s">
        <v>61</v>
      </c>
      <c r="N42" s="36" t="s">
        <v>62</v>
      </c>
      <c r="O42" s="98">
        <v>45947.0</v>
      </c>
      <c r="P42" s="272">
        <f>O42+60</f>
        <v>46007</v>
      </c>
      <c r="Q42" s="11"/>
      <c r="R42" s="36" t="s">
        <v>39</v>
      </c>
      <c r="S42" s="273" t="s">
        <v>63</v>
      </c>
      <c r="T42" s="273" t="s">
        <v>63</v>
      </c>
      <c r="U42" s="36" t="s">
        <v>229</v>
      </c>
    </row>
    <row r="43" ht="15.75" hidden="1" customHeight="1">
      <c r="A43" s="200" t="s">
        <v>267</v>
      </c>
      <c r="B43" s="193">
        <v>3.1229613E7</v>
      </c>
      <c r="C43" s="196" t="s">
        <v>735</v>
      </c>
      <c r="D43" s="260">
        <v>38158.0</v>
      </c>
      <c r="E43" s="196">
        <v>3.236595868E9</v>
      </c>
      <c r="F43" s="196" t="s">
        <v>736</v>
      </c>
      <c r="G43" s="196" t="s">
        <v>737</v>
      </c>
      <c r="H43" s="199">
        <f t="shared" si="1"/>
        <v>22</v>
      </c>
      <c r="I43" s="62" t="s">
        <v>67</v>
      </c>
      <c r="J43" s="95" t="s">
        <v>26</v>
      </c>
      <c r="K43" s="79" t="s">
        <v>89</v>
      </c>
      <c r="L43" s="149" t="s">
        <v>73</v>
      </c>
      <c r="M43" s="52" t="s">
        <v>61</v>
      </c>
      <c r="N43" s="52" t="s">
        <v>62</v>
      </c>
      <c r="O43" s="274">
        <v>45975.0</v>
      </c>
      <c r="P43" s="59">
        <f>O43+60</f>
        <v>46035</v>
      </c>
      <c r="Q43" s="22">
        <v>46144.0</v>
      </c>
      <c r="R43" s="24" t="s">
        <v>31</v>
      </c>
      <c r="S43" s="273" t="s">
        <v>63</v>
      </c>
      <c r="T43" s="273" t="s">
        <v>63</v>
      </c>
      <c r="U43" s="36" t="s">
        <v>229</v>
      </c>
    </row>
    <row r="44" ht="15.75" hidden="1" customHeight="1">
      <c r="A44" s="200" t="s">
        <v>50</v>
      </c>
      <c r="B44" s="275">
        <v>1.193125753E9</v>
      </c>
      <c r="C44" s="238" t="s">
        <v>738</v>
      </c>
      <c r="D44" s="254">
        <v>37909.0</v>
      </c>
      <c r="E44" s="238">
        <v>3.202127131E9</v>
      </c>
      <c r="F44" s="238" t="s">
        <v>739</v>
      </c>
      <c r="G44" s="238" t="s">
        <v>740</v>
      </c>
      <c r="H44" s="199">
        <v>22.0</v>
      </c>
      <c r="I44" s="102" t="s">
        <v>25</v>
      </c>
      <c r="J44" s="7" t="s">
        <v>26</v>
      </c>
      <c r="K44" s="60" t="s">
        <v>89</v>
      </c>
      <c r="L44" s="11" t="s">
        <v>28</v>
      </c>
      <c r="M44" s="12" t="s">
        <v>61</v>
      </c>
      <c r="N44" s="12" t="s">
        <v>62</v>
      </c>
      <c r="O44" s="274">
        <v>45895.0</v>
      </c>
      <c r="P44" s="59">
        <v>45955.0</v>
      </c>
      <c r="Q44" s="11" t="s">
        <v>550</v>
      </c>
      <c r="R44" s="24" t="s">
        <v>31</v>
      </c>
      <c r="S44" s="247" t="s">
        <v>63</v>
      </c>
      <c r="T44" s="247" t="s">
        <v>63</v>
      </c>
      <c r="U44" s="24" t="s">
        <v>31</v>
      </c>
    </row>
    <row r="45" ht="15.75" hidden="1" customHeight="1">
      <c r="A45" s="200" t="s">
        <v>267</v>
      </c>
      <c r="B45" s="238" t="s">
        <v>741</v>
      </c>
      <c r="C45" s="238" t="s">
        <v>681</v>
      </c>
      <c r="D45" s="254">
        <v>38465.0</v>
      </c>
      <c r="E45" s="238">
        <v>3.015448935E9</v>
      </c>
      <c r="F45" s="238" t="s">
        <v>742</v>
      </c>
      <c r="G45" s="238" t="s">
        <v>743</v>
      </c>
      <c r="H45" s="199">
        <f t="shared" ref="H45:H71" si="13">(YEAR(NOW())-YEAR(D45))</f>
        <v>21</v>
      </c>
      <c r="I45" s="102" t="s">
        <v>25</v>
      </c>
      <c r="J45" s="7" t="s">
        <v>26</v>
      </c>
      <c r="K45" s="60" t="s">
        <v>89</v>
      </c>
      <c r="L45" s="11" t="s">
        <v>73</v>
      </c>
      <c r="M45" s="12" t="s">
        <v>61</v>
      </c>
      <c r="N45" s="12" t="s">
        <v>62</v>
      </c>
      <c r="O45" s="98">
        <v>45834.0</v>
      </c>
      <c r="P45" s="17">
        <f t="shared" ref="P45:P48" si="14">O45+60</f>
        <v>45894</v>
      </c>
      <c r="Q45" s="22">
        <v>46144.0</v>
      </c>
      <c r="R45" s="24" t="s">
        <v>31</v>
      </c>
      <c r="S45" s="247" t="s">
        <v>63</v>
      </c>
      <c r="T45" s="247" t="s">
        <v>63</v>
      </c>
      <c r="U45" s="12" t="s">
        <v>229</v>
      </c>
    </row>
    <row r="46" ht="15.75" customHeight="1">
      <c r="A46" s="200" t="s">
        <v>267</v>
      </c>
      <c r="B46" s="219">
        <v>2.7599966E7</v>
      </c>
      <c r="C46" s="238" t="s">
        <v>744</v>
      </c>
      <c r="D46" s="254">
        <v>38002.0</v>
      </c>
      <c r="E46" s="238">
        <v>3.508682551E9</v>
      </c>
      <c r="F46" s="238" t="s">
        <v>745</v>
      </c>
      <c r="G46" s="238" t="s">
        <v>746</v>
      </c>
      <c r="H46" s="199">
        <f t="shared" si="13"/>
        <v>22</v>
      </c>
      <c r="I46" s="102" t="s">
        <v>25</v>
      </c>
      <c r="J46" s="7" t="s">
        <v>26</v>
      </c>
      <c r="K46" s="60" t="s">
        <v>89</v>
      </c>
      <c r="L46" s="11" t="s">
        <v>28</v>
      </c>
      <c r="M46" s="12" t="s">
        <v>61</v>
      </c>
      <c r="N46" s="12" t="s">
        <v>62</v>
      </c>
      <c r="O46" s="98">
        <v>45849.0</v>
      </c>
      <c r="P46" s="59">
        <f t="shared" si="14"/>
        <v>45909</v>
      </c>
      <c r="Q46" s="22"/>
      <c r="R46" s="12" t="s">
        <v>39</v>
      </c>
      <c r="S46" s="247" t="s">
        <v>63</v>
      </c>
      <c r="T46" s="247" t="s">
        <v>63</v>
      </c>
      <c r="U46" s="36" t="s">
        <v>229</v>
      </c>
    </row>
    <row r="47" ht="15.75" customHeight="1">
      <c r="A47" s="243" t="s">
        <v>50</v>
      </c>
      <c r="B47" s="276">
        <v>1.047479991E9</v>
      </c>
      <c r="C47" s="245" t="s">
        <v>747</v>
      </c>
      <c r="D47" s="17">
        <v>34751.0</v>
      </c>
      <c r="E47" s="277">
        <v>3.00304795E9</v>
      </c>
      <c r="F47" s="276" t="s">
        <v>748</v>
      </c>
      <c r="G47" s="277" t="s">
        <v>749</v>
      </c>
      <c r="H47" s="199">
        <f t="shared" si="13"/>
        <v>31</v>
      </c>
      <c r="I47" s="12" t="s">
        <v>67</v>
      </c>
      <c r="J47" s="7" t="s">
        <v>35</v>
      </c>
      <c r="K47" s="61" t="s">
        <v>36</v>
      </c>
      <c r="L47" s="11" t="s">
        <v>73</v>
      </c>
      <c r="M47" s="12" t="s">
        <v>61</v>
      </c>
      <c r="N47" s="12" t="s">
        <v>62</v>
      </c>
      <c r="O47" s="246">
        <v>45420.0</v>
      </c>
      <c r="P47" s="59">
        <f t="shared" si="14"/>
        <v>45480</v>
      </c>
      <c r="Q47" s="7"/>
      <c r="R47" s="12" t="s">
        <v>39</v>
      </c>
      <c r="S47" s="247" t="s">
        <v>63</v>
      </c>
      <c r="T47" s="247" t="s">
        <v>63</v>
      </c>
      <c r="U47" s="49" t="s">
        <v>750</v>
      </c>
    </row>
    <row r="48" ht="15.75" customHeight="1">
      <c r="A48" s="200" t="s">
        <v>267</v>
      </c>
      <c r="B48" s="275">
        <v>3.0325656E7</v>
      </c>
      <c r="C48" s="238" t="s">
        <v>751</v>
      </c>
      <c r="D48" s="254">
        <v>37943.0</v>
      </c>
      <c r="E48" s="238">
        <v>3.017940255E9</v>
      </c>
      <c r="F48" s="238" t="s">
        <v>752</v>
      </c>
      <c r="G48" s="238" t="s">
        <v>753</v>
      </c>
      <c r="H48" s="199">
        <f t="shared" si="13"/>
        <v>23</v>
      </c>
      <c r="I48" s="62" t="s">
        <v>25</v>
      </c>
      <c r="J48" s="7" t="s">
        <v>26</v>
      </c>
      <c r="K48" s="60" t="s">
        <v>89</v>
      </c>
      <c r="L48" s="261" t="s">
        <v>73</v>
      </c>
      <c r="M48" s="12" t="s">
        <v>61</v>
      </c>
      <c r="N48" s="12" t="s">
        <v>62</v>
      </c>
      <c r="O48" s="98">
        <v>46009.0</v>
      </c>
      <c r="P48" s="17">
        <f t="shared" si="14"/>
        <v>46069</v>
      </c>
      <c r="Q48" s="22"/>
      <c r="R48" s="36" t="s">
        <v>39</v>
      </c>
      <c r="S48" s="247" t="s">
        <v>63</v>
      </c>
      <c r="T48" s="247" t="s">
        <v>63</v>
      </c>
      <c r="U48" s="36" t="s">
        <v>229</v>
      </c>
    </row>
    <row r="49" ht="15.75" hidden="1" customHeight="1">
      <c r="A49" s="34" t="s">
        <v>21</v>
      </c>
      <c r="B49" s="61">
        <v>1729922.0</v>
      </c>
      <c r="C49" s="60" t="s">
        <v>754</v>
      </c>
      <c r="D49" s="278">
        <v>34132.0</v>
      </c>
      <c r="E49" s="60">
        <v>3.208368075E9</v>
      </c>
      <c r="F49" s="61" t="s">
        <v>755</v>
      </c>
      <c r="G49" s="60" t="s">
        <v>756</v>
      </c>
      <c r="H49" s="234">
        <f t="shared" si="13"/>
        <v>33</v>
      </c>
      <c r="I49" s="62" t="s">
        <v>67</v>
      </c>
      <c r="J49" s="7" t="s">
        <v>26</v>
      </c>
      <c r="K49" s="7" t="s">
        <v>89</v>
      </c>
      <c r="L49" s="7" t="s">
        <v>73</v>
      </c>
      <c r="M49" s="12" t="s">
        <v>61</v>
      </c>
      <c r="N49" s="12" t="s">
        <v>62</v>
      </c>
      <c r="O49" s="190">
        <v>44974.0</v>
      </c>
      <c r="P49" s="242">
        <f t="shared" ref="P49:P50" si="15">O49+90</f>
        <v>45064</v>
      </c>
      <c r="Q49" s="33">
        <v>45007.0</v>
      </c>
      <c r="R49" s="14" t="s">
        <v>31</v>
      </c>
      <c r="S49" s="106">
        <v>1000000.0</v>
      </c>
      <c r="T49" s="106">
        <v>500000.0</v>
      </c>
      <c r="U49" s="14" t="s">
        <v>31</v>
      </c>
    </row>
    <row r="50" ht="15.75" hidden="1" customHeight="1">
      <c r="A50" s="35" t="s">
        <v>21</v>
      </c>
      <c r="B50" s="227">
        <v>7033324.0</v>
      </c>
      <c r="C50" s="228" t="s">
        <v>757</v>
      </c>
      <c r="D50" s="279">
        <v>37125.0</v>
      </c>
      <c r="E50" s="228">
        <v>3.114537099E9</v>
      </c>
      <c r="F50" s="230" t="s">
        <v>758</v>
      </c>
      <c r="G50" s="228" t="s">
        <v>759</v>
      </c>
      <c r="H50" s="228">
        <f t="shared" si="13"/>
        <v>25</v>
      </c>
      <c r="I50" s="62" t="s">
        <v>67</v>
      </c>
      <c r="J50" s="7" t="s">
        <v>35</v>
      </c>
      <c r="K50" s="60" t="s">
        <v>27</v>
      </c>
      <c r="L50" s="7" t="s">
        <v>73</v>
      </c>
      <c r="M50" s="12" t="s">
        <v>61</v>
      </c>
      <c r="N50" s="12" t="s">
        <v>62</v>
      </c>
      <c r="O50" s="259">
        <v>44856.0</v>
      </c>
      <c r="P50" s="242">
        <f t="shared" si="15"/>
        <v>44946</v>
      </c>
      <c r="Q50" s="13">
        <v>45382.0</v>
      </c>
      <c r="R50" s="14" t="s">
        <v>31</v>
      </c>
      <c r="S50" s="15" t="s">
        <v>63</v>
      </c>
      <c r="T50" s="15" t="s">
        <v>63</v>
      </c>
      <c r="U50" s="14" t="s">
        <v>31</v>
      </c>
    </row>
    <row r="51" ht="15.75" hidden="1" customHeight="1">
      <c r="A51" s="200" t="s">
        <v>21</v>
      </c>
      <c r="B51" s="238">
        <v>7033324.0</v>
      </c>
      <c r="C51" s="238" t="s">
        <v>757</v>
      </c>
      <c r="D51" s="254">
        <v>37125.0</v>
      </c>
      <c r="E51" s="238">
        <v>3.024284237E9</v>
      </c>
      <c r="F51" s="238" t="s">
        <v>758</v>
      </c>
      <c r="G51" s="238" t="s">
        <v>760</v>
      </c>
      <c r="H51" s="63">
        <f t="shared" si="13"/>
        <v>25</v>
      </c>
      <c r="I51" s="62" t="s">
        <v>67</v>
      </c>
      <c r="J51" s="7" t="s">
        <v>26</v>
      </c>
      <c r="K51" s="7" t="s">
        <v>89</v>
      </c>
      <c r="L51" s="11" t="s">
        <v>48</v>
      </c>
      <c r="M51" s="12" t="s">
        <v>61</v>
      </c>
      <c r="N51" s="12" t="s">
        <v>62</v>
      </c>
      <c r="O51" s="274">
        <v>45783.0</v>
      </c>
      <c r="P51" s="99">
        <f>O51+60</f>
        <v>45843</v>
      </c>
      <c r="Q51" s="11" t="s">
        <v>625</v>
      </c>
      <c r="R51" s="24" t="s">
        <v>31</v>
      </c>
      <c r="S51" s="32" t="s">
        <v>63</v>
      </c>
      <c r="T51" s="32" t="s">
        <v>63</v>
      </c>
      <c r="U51" s="24" t="s">
        <v>31</v>
      </c>
    </row>
    <row r="52" ht="15.75" hidden="1" customHeight="1">
      <c r="A52" s="34" t="s">
        <v>50</v>
      </c>
      <c r="B52" s="61">
        <v>1.19272221E9</v>
      </c>
      <c r="C52" s="60" t="s">
        <v>761</v>
      </c>
      <c r="D52" s="241">
        <v>37420.0</v>
      </c>
      <c r="E52" s="60">
        <v>3.024306516E9</v>
      </c>
      <c r="F52" s="61" t="s">
        <v>682</v>
      </c>
      <c r="G52" s="60" t="s">
        <v>631</v>
      </c>
      <c r="H52" s="234">
        <f t="shared" si="13"/>
        <v>24</v>
      </c>
      <c r="I52" s="12" t="s">
        <v>25</v>
      </c>
      <c r="J52" s="7" t="s">
        <v>26</v>
      </c>
      <c r="K52" s="7" t="s">
        <v>89</v>
      </c>
      <c r="L52" s="7" t="s">
        <v>73</v>
      </c>
      <c r="M52" s="12" t="s">
        <v>61</v>
      </c>
      <c r="N52" s="12" t="s">
        <v>62</v>
      </c>
      <c r="O52" s="190">
        <v>45073.0</v>
      </c>
      <c r="P52" s="242">
        <f>O52+90</f>
        <v>45163</v>
      </c>
      <c r="Q52" s="13">
        <v>45184.0</v>
      </c>
      <c r="R52" s="14" t="s">
        <v>31</v>
      </c>
      <c r="S52" s="15">
        <v>1000000.0</v>
      </c>
      <c r="T52" s="15">
        <v>500000.0</v>
      </c>
      <c r="U52" s="14" t="s">
        <v>31</v>
      </c>
    </row>
    <row r="53" ht="15.75" customHeight="1">
      <c r="A53" s="121" t="s">
        <v>260</v>
      </c>
      <c r="B53" s="120">
        <v>1.95002496E8</v>
      </c>
      <c r="C53" s="146" t="s">
        <v>762</v>
      </c>
      <c r="D53" s="165">
        <v>36582.0</v>
      </c>
      <c r="E53" s="146">
        <v>3.0133266E9</v>
      </c>
      <c r="F53" s="146" t="s">
        <v>763</v>
      </c>
      <c r="G53" s="146" t="s">
        <v>764</v>
      </c>
      <c r="H53" s="95">
        <f t="shared" si="13"/>
        <v>26</v>
      </c>
      <c r="I53" s="280" t="s">
        <v>25</v>
      </c>
      <c r="J53" s="95" t="s">
        <v>26</v>
      </c>
      <c r="K53" s="95" t="s">
        <v>89</v>
      </c>
      <c r="L53" s="149" t="s">
        <v>28</v>
      </c>
      <c r="M53" s="52" t="s">
        <v>61</v>
      </c>
      <c r="N53" s="52" t="s">
        <v>62</v>
      </c>
      <c r="O53" s="112">
        <v>45883.0</v>
      </c>
      <c r="P53" s="281">
        <f>O53+60</f>
        <v>45943</v>
      </c>
      <c r="Q53" s="282"/>
      <c r="R53" s="12" t="s">
        <v>39</v>
      </c>
      <c r="S53" s="273" t="s">
        <v>63</v>
      </c>
      <c r="T53" s="273" t="s">
        <v>63</v>
      </c>
      <c r="U53" s="36" t="s">
        <v>229</v>
      </c>
      <c r="V53" s="176"/>
      <c r="W53" s="176"/>
      <c r="X53" s="176"/>
      <c r="Y53" s="176"/>
      <c r="Z53" s="176"/>
    </row>
    <row r="54" ht="15.75" customHeight="1">
      <c r="A54" s="200" t="s">
        <v>50</v>
      </c>
      <c r="B54" s="179">
        <v>1.127629651E9</v>
      </c>
      <c r="C54" s="97" t="s">
        <v>765</v>
      </c>
      <c r="D54" s="166">
        <v>35548.0</v>
      </c>
      <c r="E54" s="97">
        <v>3.115137412E9</v>
      </c>
      <c r="F54" s="97" t="s">
        <v>766</v>
      </c>
      <c r="G54" s="97" t="s">
        <v>767</v>
      </c>
      <c r="H54" s="199">
        <f t="shared" si="13"/>
        <v>29</v>
      </c>
      <c r="I54" s="36" t="s">
        <v>25</v>
      </c>
      <c r="J54" s="7" t="s">
        <v>26</v>
      </c>
      <c r="K54" s="7" t="s">
        <v>89</v>
      </c>
      <c r="L54" s="149" t="s">
        <v>48</v>
      </c>
      <c r="M54" s="12" t="s">
        <v>61</v>
      </c>
      <c r="N54" s="12" t="s">
        <v>62</v>
      </c>
      <c r="O54" s="98">
        <v>45932.0</v>
      </c>
      <c r="P54" s="283">
        <f>O54+60</f>
        <v>45992</v>
      </c>
      <c r="Q54" s="22"/>
      <c r="R54" s="12" t="s">
        <v>39</v>
      </c>
      <c r="S54" s="273" t="s">
        <v>63</v>
      </c>
      <c r="T54" s="273" t="s">
        <v>63</v>
      </c>
      <c r="U54" s="36" t="s">
        <v>768</v>
      </c>
    </row>
    <row r="55" ht="15.75" customHeight="1">
      <c r="A55" s="200" t="s">
        <v>50</v>
      </c>
      <c r="B55" s="284">
        <v>1.082855919E9</v>
      </c>
      <c r="C55" s="238" t="s">
        <v>769</v>
      </c>
      <c r="D55" s="260">
        <v>36157.0</v>
      </c>
      <c r="E55" s="238">
        <v>3.143908992E9</v>
      </c>
      <c r="F55" s="238" t="s">
        <v>770</v>
      </c>
      <c r="G55" s="238" t="s">
        <v>771</v>
      </c>
      <c r="H55" s="199">
        <f t="shared" si="13"/>
        <v>28</v>
      </c>
      <c r="I55" s="12" t="s">
        <v>25</v>
      </c>
      <c r="J55" s="95" t="s">
        <v>26</v>
      </c>
      <c r="K55" s="95" t="s">
        <v>89</v>
      </c>
      <c r="L55" s="149" t="s">
        <v>28</v>
      </c>
      <c r="M55" s="52" t="s">
        <v>61</v>
      </c>
      <c r="N55" s="52" t="s">
        <v>62</v>
      </c>
      <c r="O55" s="274">
        <v>45997.0</v>
      </c>
      <c r="P55" s="285">
        <f>O55+60</f>
        <v>46057</v>
      </c>
      <c r="Q55" s="22"/>
      <c r="R55" s="12" t="s">
        <v>39</v>
      </c>
      <c r="S55" s="273" t="s">
        <v>63</v>
      </c>
      <c r="T55" s="273" t="s">
        <v>63</v>
      </c>
      <c r="U55" s="36" t="s">
        <v>772</v>
      </c>
    </row>
    <row r="56" ht="15.75" customHeight="1">
      <c r="A56" s="49" t="s">
        <v>21</v>
      </c>
      <c r="B56" s="97" t="s">
        <v>773</v>
      </c>
      <c r="C56" s="97" t="s">
        <v>774</v>
      </c>
      <c r="D56" s="248">
        <v>35557.0</v>
      </c>
      <c r="E56" s="97">
        <v>3.013926699E9</v>
      </c>
      <c r="F56" s="97" t="s">
        <v>775</v>
      </c>
      <c r="G56" s="97" t="s">
        <v>776</v>
      </c>
      <c r="H56" s="199">
        <f t="shared" si="13"/>
        <v>29</v>
      </c>
      <c r="I56" s="12" t="s">
        <v>67</v>
      </c>
      <c r="J56" s="7" t="s">
        <v>26</v>
      </c>
      <c r="K56" s="7" t="s">
        <v>89</v>
      </c>
      <c r="L56" s="11" t="s">
        <v>48</v>
      </c>
      <c r="M56" s="12" t="s">
        <v>61</v>
      </c>
      <c r="N56" s="12" t="s">
        <v>62</v>
      </c>
      <c r="O56" s="98">
        <v>45833.0</v>
      </c>
      <c r="P56" s="246">
        <f t="shared" ref="P56:P63" si="16">O56+60</f>
        <v>45893</v>
      </c>
      <c r="Q56" s="22"/>
      <c r="R56" s="12" t="s">
        <v>39</v>
      </c>
      <c r="S56" s="247" t="s">
        <v>63</v>
      </c>
      <c r="T56" s="247" t="s">
        <v>63</v>
      </c>
      <c r="U56" s="36" t="s">
        <v>777</v>
      </c>
    </row>
    <row r="57" ht="15.75" hidden="1" customHeight="1">
      <c r="A57" s="49" t="s">
        <v>50</v>
      </c>
      <c r="B57" s="97">
        <v>1.08042708E9</v>
      </c>
      <c r="C57" s="97" t="s">
        <v>778</v>
      </c>
      <c r="D57" s="248">
        <v>36205.0</v>
      </c>
      <c r="E57" s="111">
        <v>3.242540956E9</v>
      </c>
      <c r="F57" s="97" t="s">
        <v>779</v>
      </c>
      <c r="G57" s="97" t="s">
        <v>780</v>
      </c>
      <c r="H57" s="181">
        <f t="shared" si="13"/>
        <v>27</v>
      </c>
      <c r="I57" s="36" t="s">
        <v>25</v>
      </c>
      <c r="J57" s="7" t="s">
        <v>26</v>
      </c>
      <c r="K57" s="7" t="s">
        <v>89</v>
      </c>
      <c r="L57" s="11" t="s">
        <v>48</v>
      </c>
      <c r="M57" s="12" t="s">
        <v>61</v>
      </c>
      <c r="N57" s="12" t="s">
        <v>62</v>
      </c>
      <c r="O57" s="98">
        <v>45794.0</v>
      </c>
      <c r="P57" s="17">
        <f t="shared" si="16"/>
        <v>45854</v>
      </c>
      <c r="Q57" s="11" t="s">
        <v>781</v>
      </c>
      <c r="R57" s="24" t="s">
        <v>31</v>
      </c>
      <c r="S57" s="247" t="s">
        <v>63</v>
      </c>
      <c r="T57" s="247" t="s">
        <v>63</v>
      </c>
      <c r="U57" s="36" t="s">
        <v>782</v>
      </c>
    </row>
    <row r="58" ht="15.75" customHeight="1">
      <c r="A58" s="200" t="s">
        <v>267</v>
      </c>
      <c r="B58" s="193">
        <v>2.0743031E7</v>
      </c>
      <c r="C58" s="196" t="s">
        <v>783</v>
      </c>
      <c r="D58" s="166">
        <v>33240.0</v>
      </c>
      <c r="E58" s="196">
        <v>3.24373271E9</v>
      </c>
      <c r="F58" s="196" t="s">
        <v>784</v>
      </c>
      <c r="G58" s="196" t="s">
        <v>785</v>
      </c>
      <c r="H58" s="199">
        <f t="shared" si="13"/>
        <v>35</v>
      </c>
      <c r="I58" s="62" t="s">
        <v>25</v>
      </c>
      <c r="J58" s="95" t="s">
        <v>26</v>
      </c>
      <c r="K58" s="79" t="s">
        <v>89</v>
      </c>
      <c r="L58" s="11" t="s">
        <v>48</v>
      </c>
      <c r="M58" s="52" t="s">
        <v>61</v>
      </c>
      <c r="N58" s="52" t="s">
        <v>62</v>
      </c>
      <c r="O58" s="98">
        <v>46027.0</v>
      </c>
      <c r="P58" s="59">
        <f t="shared" si="16"/>
        <v>46087</v>
      </c>
      <c r="Q58" s="7"/>
      <c r="R58" s="12" t="s">
        <v>39</v>
      </c>
      <c r="S58" s="247" t="s">
        <v>63</v>
      </c>
      <c r="T58" s="247" t="s">
        <v>63</v>
      </c>
      <c r="U58" s="36" t="s">
        <v>229</v>
      </c>
    </row>
    <row r="59" ht="15.75" customHeight="1">
      <c r="A59" s="200" t="s">
        <v>21</v>
      </c>
      <c r="B59" s="275">
        <v>1208152.0</v>
      </c>
      <c r="C59" s="238" t="s">
        <v>786</v>
      </c>
      <c r="D59" s="254">
        <v>36439.0</v>
      </c>
      <c r="E59" s="238">
        <v>3.224105978E9</v>
      </c>
      <c r="F59" s="238" t="s">
        <v>787</v>
      </c>
      <c r="G59" s="238" t="s">
        <v>788</v>
      </c>
      <c r="H59" s="79">
        <f t="shared" si="13"/>
        <v>27</v>
      </c>
      <c r="I59" s="62" t="s">
        <v>25</v>
      </c>
      <c r="J59" s="7" t="s">
        <v>26</v>
      </c>
      <c r="K59" s="60" t="s">
        <v>89</v>
      </c>
      <c r="L59" s="11" t="s">
        <v>48</v>
      </c>
      <c r="M59" s="12" t="s">
        <v>61</v>
      </c>
      <c r="N59" s="12" t="s">
        <v>62</v>
      </c>
      <c r="O59" s="98">
        <v>45937.0</v>
      </c>
      <c r="P59" s="286">
        <f t="shared" si="16"/>
        <v>45997</v>
      </c>
      <c r="Q59" s="22"/>
      <c r="R59" s="12" t="s">
        <v>39</v>
      </c>
      <c r="S59" s="273" t="s">
        <v>63</v>
      </c>
      <c r="T59" s="273" t="s">
        <v>63</v>
      </c>
      <c r="U59" s="36" t="s">
        <v>789</v>
      </c>
    </row>
    <row r="60" ht="15.75" customHeight="1">
      <c r="A60" s="200" t="s">
        <v>50</v>
      </c>
      <c r="B60" s="193">
        <v>1.031125921E9</v>
      </c>
      <c r="C60" s="196" t="s">
        <v>678</v>
      </c>
      <c r="D60" s="260">
        <v>38311.0</v>
      </c>
      <c r="E60" s="196">
        <v>3.045932343E9</v>
      </c>
      <c r="F60" s="196" t="s">
        <v>679</v>
      </c>
      <c r="G60" s="196" t="s">
        <v>790</v>
      </c>
      <c r="H60" s="79">
        <f t="shared" si="13"/>
        <v>22</v>
      </c>
      <c r="I60" s="62" t="s">
        <v>25</v>
      </c>
      <c r="J60" s="95" t="s">
        <v>26</v>
      </c>
      <c r="K60" s="79" t="s">
        <v>89</v>
      </c>
      <c r="L60" s="149" t="s">
        <v>28</v>
      </c>
      <c r="M60" s="52" t="s">
        <v>61</v>
      </c>
      <c r="N60" s="52" t="s">
        <v>62</v>
      </c>
      <c r="O60" s="274">
        <v>46003.0</v>
      </c>
      <c r="P60" s="59">
        <f t="shared" si="16"/>
        <v>46063</v>
      </c>
      <c r="Q60" s="7"/>
      <c r="R60" s="12" t="s">
        <v>39</v>
      </c>
      <c r="S60" s="273" t="s">
        <v>63</v>
      </c>
      <c r="T60" s="273" t="s">
        <v>63</v>
      </c>
      <c r="U60" s="36" t="s">
        <v>791</v>
      </c>
    </row>
    <row r="61" ht="15.75" customHeight="1">
      <c r="A61" s="287" t="s">
        <v>21</v>
      </c>
      <c r="B61" s="288">
        <v>5931573.0</v>
      </c>
      <c r="C61" s="76" t="s">
        <v>792</v>
      </c>
      <c r="D61" s="260">
        <v>39229.0</v>
      </c>
      <c r="E61" s="76">
        <v>3.224617954E9</v>
      </c>
      <c r="F61" s="76" t="s">
        <v>793</v>
      </c>
      <c r="G61" s="76" t="s">
        <v>794</v>
      </c>
      <c r="H61" s="199">
        <f t="shared" si="13"/>
        <v>19</v>
      </c>
      <c r="I61" s="12" t="s">
        <v>25</v>
      </c>
      <c r="J61" s="7" t="s">
        <v>26</v>
      </c>
      <c r="K61" s="60" t="s">
        <v>89</v>
      </c>
      <c r="L61" s="7" t="s">
        <v>48</v>
      </c>
      <c r="M61" s="12" t="s">
        <v>61</v>
      </c>
      <c r="N61" s="12" t="s">
        <v>62</v>
      </c>
      <c r="O61" s="164">
        <v>45989.0</v>
      </c>
      <c r="P61" s="59">
        <f t="shared" si="16"/>
        <v>46049</v>
      </c>
      <c r="Q61" s="7"/>
      <c r="R61" s="12" t="s">
        <v>39</v>
      </c>
      <c r="S61" s="273" t="s">
        <v>63</v>
      </c>
      <c r="T61" s="273" t="s">
        <v>63</v>
      </c>
      <c r="U61" s="36" t="s">
        <v>795</v>
      </c>
    </row>
    <row r="62" ht="15.75" customHeight="1">
      <c r="A62" s="200" t="s">
        <v>50</v>
      </c>
      <c r="B62" s="193">
        <v>1.03180366E9</v>
      </c>
      <c r="C62" s="196" t="s">
        <v>471</v>
      </c>
      <c r="D62" s="112">
        <v>38411.0</v>
      </c>
      <c r="E62" s="196">
        <v>3.156762614E9</v>
      </c>
      <c r="F62" s="196" t="s">
        <v>796</v>
      </c>
      <c r="G62" s="196" t="s">
        <v>473</v>
      </c>
      <c r="H62" s="60">
        <f t="shared" si="13"/>
        <v>21</v>
      </c>
      <c r="I62" s="12" t="s">
        <v>25</v>
      </c>
      <c r="J62" s="150" t="s">
        <v>26</v>
      </c>
      <c r="K62" s="289" t="s">
        <v>89</v>
      </c>
      <c r="L62" s="11" t="s">
        <v>28</v>
      </c>
      <c r="M62" s="12" t="s">
        <v>61</v>
      </c>
      <c r="N62" s="12" t="s">
        <v>62</v>
      </c>
      <c r="O62" s="290">
        <v>45804.0</v>
      </c>
      <c r="P62" s="59">
        <f t="shared" si="16"/>
        <v>45864</v>
      </c>
      <c r="Q62" s="7"/>
      <c r="R62" s="12" t="s">
        <v>39</v>
      </c>
      <c r="S62" s="247" t="s">
        <v>63</v>
      </c>
      <c r="T62" s="247" t="s">
        <v>63</v>
      </c>
      <c r="U62" s="36" t="s">
        <v>797</v>
      </c>
    </row>
    <row r="63" ht="15.75" customHeight="1">
      <c r="A63" s="200" t="s">
        <v>21</v>
      </c>
      <c r="B63" s="193" t="s">
        <v>798</v>
      </c>
      <c r="C63" s="196" t="s">
        <v>799</v>
      </c>
      <c r="D63" s="166">
        <v>38256.0</v>
      </c>
      <c r="E63" s="196">
        <v>3.042046565E9</v>
      </c>
      <c r="F63" s="196" t="s">
        <v>800</v>
      </c>
      <c r="G63" s="196" t="s">
        <v>614</v>
      </c>
      <c r="H63" s="60">
        <f t="shared" si="13"/>
        <v>22</v>
      </c>
      <c r="I63" s="12" t="s">
        <v>25</v>
      </c>
      <c r="J63" s="7" t="s">
        <v>26</v>
      </c>
      <c r="K63" s="60" t="s">
        <v>89</v>
      </c>
      <c r="L63" s="261" t="s">
        <v>73</v>
      </c>
      <c r="M63" s="12" t="s">
        <v>61</v>
      </c>
      <c r="N63" s="12" t="s">
        <v>62</v>
      </c>
      <c r="O63" s="268">
        <v>45916.0</v>
      </c>
      <c r="P63" s="59">
        <f t="shared" si="16"/>
        <v>45976</v>
      </c>
      <c r="Q63" s="7"/>
      <c r="R63" s="12" t="s">
        <v>39</v>
      </c>
      <c r="S63" s="273" t="s">
        <v>63</v>
      </c>
      <c r="T63" s="273" t="s">
        <v>63</v>
      </c>
      <c r="U63" s="36" t="s">
        <v>801</v>
      </c>
    </row>
    <row r="64" ht="15.75" customHeight="1">
      <c r="A64" s="200" t="s">
        <v>50</v>
      </c>
      <c r="B64" s="193">
        <v>1.012336202E9</v>
      </c>
      <c r="C64" s="196" t="s">
        <v>802</v>
      </c>
      <c r="D64" s="260">
        <v>38634.0</v>
      </c>
      <c r="E64" s="196">
        <v>3.233579441E9</v>
      </c>
      <c r="F64" s="196" t="s">
        <v>803</v>
      </c>
      <c r="G64" s="196" t="s">
        <v>804</v>
      </c>
      <c r="H64" s="199">
        <f t="shared" si="13"/>
        <v>21</v>
      </c>
      <c r="I64" s="62" t="s">
        <v>25</v>
      </c>
      <c r="J64" s="95" t="s">
        <v>26</v>
      </c>
      <c r="K64" s="79" t="s">
        <v>89</v>
      </c>
      <c r="L64" s="149" t="s">
        <v>28</v>
      </c>
      <c r="M64" s="52" t="s">
        <v>61</v>
      </c>
      <c r="N64" s="52" t="s">
        <v>62</v>
      </c>
      <c r="O64" s="98">
        <v>46008.0</v>
      </c>
      <c r="P64" s="59">
        <f>O64+60</f>
        <v>46068</v>
      </c>
      <c r="Q64" s="7"/>
      <c r="R64" s="12" t="s">
        <v>39</v>
      </c>
      <c r="S64" s="247" t="s">
        <v>63</v>
      </c>
      <c r="T64" s="247" t="s">
        <v>63</v>
      </c>
      <c r="U64" s="36" t="s">
        <v>805</v>
      </c>
    </row>
    <row r="65" ht="15.75" customHeight="1">
      <c r="A65" s="49" t="s">
        <v>267</v>
      </c>
      <c r="B65" s="129">
        <v>1.5109082E7</v>
      </c>
      <c r="C65" s="49" t="s">
        <v>806</v>
      </c>
      <c r="D65" s="291">
        <v>29982.0</v>
      </c>
      <c r="E65" s="49">
        <v>3.01836529E9</v>
      </c>
      <c r="F65" s="49" t="s">
        <v>807</v>
      </c>
      <c r="G65" s="49" t="s">
        <v>808</v>
      </c>
      <c r="H65" s="199">
        <f t="shared" si="13"/>
        <v>44</v>
      </c>
      <c r="I65" s="12" t="s">
        <v>67</v>
      </c>
      <c r="J65" s="7" t="s">
        <v>26</v>
      </c>
      <c r="K65" s="7" t="s">
        <v>89</v>
      </c>
      <c r="L65" s="261" t="s">
        <v>73</v>
      </c>
      <c r="M65" s="52" t="s">
        <v>61</v>
      </c>
      <c r="N65" s="52" t="s">
        <v>62</v>
      </c>
      <c r="O65" s="46">
        <v>45925.0</v>
      </c>
      <c r="P65" s="272">
        <f t="shared" ref="P65:P70" si="17">O65+60</f>
        <v>45985</v>
      </c>
      <c r="Q65" s="7"/>
      <c r="R65" s="12" t="s">
        <v>39</v>
      </c>
      <c r="S65" s="273" t="s">
        <v>63</v>
      </c>
      <c r="T65" s="273" t="s">
        <v>63</v>
      </c>
      <c r="U65" s="36" t="s">
        <v>229</v>
      </c>
    </row>
    <row r="66" ht="15.75" customHeight="1">
      <c r="A66" s="243" t="s">
        <v>21</v>
      </c>
      <c r="B66" s="238">
        <v>6486817.0</v>
      </c>
      <c r="C66" s="238" t="s">
        <v>809</v>
      </c>
      <c r="D66" s="254">
        <v>36433.0</v>
      </c>
      <c r="E66" s="238">
        <v>3.223092205E9</v>
      </c>
      <c r="F66" s="238" t="s">
        <v>810</v>
      </c>
      <c r="G66" s="238" t="s">
        <v>811</v>
      </c>
      <c r="H66" s="60">
        <f t="shared" si="13"/>
        <v>27</v>
      </c>
      <c r="I66" s="42" t="s">
        <v>25</v>
      </c>
      <c r="J66" s="7" t="s">
        <v>26</v>
      </c>
      <c r="K66" s="60" t="s">
        <v>89</v>
      </c>
      <c r="L66" s="7" t="s">
        <v>48</v>
      </c>
      <c r="M66" s="12" t="s">
        <v>61</v>
      </c>
      <c r="N66" s="12" t="s">
        <v>62</v>
      </c>
      <c r="O66" s="274">
        <v>45761.0</v>
      </c>
      <c r="P66" s="59">
        <f t="shared" si="17"/>
        <v>45821</v>
      </c>
      <c r="Q66" s="11" t="s">
        <v>812</v>
      </c>
      <c r="R66" s="24" t="s">
        <v>31</v>
      </c>
      <c r="S66" s="247" t="s">
        <v>63</v>
      </c>
      <c r="T66" s="247" t="s">
        <v>63</v>
      </c>
      <c r="U66" s="49" t="s">
        <v>813</v>
      </c>
    </row>
    <row r="67" ht="15.75" customHeight="1">
      <c r="A67" s="200" t="s">
        <v>267</v>
      </c>
      <c r="B67" s="193">
        <v>2.6552789E7</v>
      </c>
      <c r="C67" s="194" t="s">
        <v>535</v>
      </c>
      <c r="D67" s="195">
        <v>36271.0</v>
      </c>
      <c r="E67" s="196">
        <v>3.046785018E9</v>
      </c>
      <c r="F67" s="196" t="s">
        <v>814</v>
      </c>
      <c r="G67" s="194" t="s">
        <v>537</v>
      </c>
      <c r="H67" s="199">
        <f t="shared" si="13"/>
        <v>27</v>
      </c>
      <c r="I67" s="62" t="s">
        <v>25</v>
      </c>
      <c r="J67" s="7" t="s">
        <v>26</v>
      </c>
      <c r="K67" s="60" t="s">
        <v>89</v>
      </c>
      <c r="L67" s="11" t="s">
        <v>73</v>
      </c>
      <c r="M67" s="42" t="s">
        <v>61</v>
      </c>
      <c r="N67" s="42" t="s">
        <v>62</v>
      </c>
      <c r="O67" s="37">
        <v>45385.0</v>
      </c>
      <c r="P67" s="59">
        <f t="shared" si="17"/>
        <v>45445</v>
      </c>
      <c r="Q67" s="7"/>
      <c r="R67" s="12" t="s">
        <v>39</v>
      </c>
      <c r="S67" s="247" t="s">
        <v>63</v>
      </c>
      <c r="T67" s="247" t="s">
        <v>63</v>
      </c>
      <c r="U67" s="36" t="s">
        <v>229</v>
      </c>
    </row>
    <row r="68" ht="15.75" customHeight="1">
      <c r="A68" s="49" t="s">
        <v>267</v>
      </c>
      <c r="B68" s="120">
        <v>2.5510624E7</v>
      </c>
      <c r="C68" s="148" t="s">
        <v>815</v>
      </c>
      <c r="D68" s="166">
        <v>34894.0</v>
      </c>
      <c r="E68" s="121">
        <v>3.102695459E9</v>
      </c>
      <c r="F68" s="36" t="s">
        <v>816</v>
      </c>
      <c r="G68" s="11" t="s">
        <v>102</v>
      </c>
      <c r="H68" s="150">
        <f t="shared" si="13"/>
        <v>31</v>
      </c>
      <c r="I68" s="12" t="s">
        <v>67</v>
      </c>
      <c r="J68" s="7" t="s">
        <v>26</v>
      </c>
      <c r="K68" s="150" t="s">
        <v>89</v>
      </c>
      <c r="L68" s="11" t="s">
        <v>73</v>
      </c>
      <c r="M68" s="12" t="s">
        <v>61</v>
      </c>
      <c r="N68" s="12" t="s">
        <v>62</v>
      </c>
      <c r="O68" s="164">
        <v>45579.0</v>
      </c>
      <c r="P68" s="17">
        <f t="shared" si="17"/>
        <v>45639</v>
      </c>
      <c r="Q68" s="7"/>
      <c r="R68" s="12" t="s">
        <v>39</v>
      </c>
      <c r="S68" s="32" t="s">
        <v>63</v>
      </c>
      <c r="T68" s="32" t="s">
        <v>63</v>
      </c>
      <c r="U68" s="12" t="s">
        <v>229</v>
      </c>
      <c r="V68" s="292"/>
      <c r="W68" s="292"/>
      <c r="X68" s="292"/>
      <c r="Y68" s="292"/>
      <c r="Z68" s="292"/>
    </row>
    <row r="69" ht="15.75" customHeight="1">
      <c r="A69" s="200" t="s">
        <v>21</v>
      </c>
      <c r="B69" s="193">
        <v>7033324.0</v>
      </c>
      <c r="C69" s="196" t="s">
        <v>757</v>
      </c>
      <c r="D69" s="260">
        <v>37125.0</v>
      </c>
      <c r="E69" s="196" t="s">
        <v>817</v>
      </c>
      <c r="F69" s="196" t="s">
        <v>818</v>
      </c>
      <c r="G69" s="196" t="s">
        <v>651</v>
      </c>
      <c r="H69" s="199">
        <f t="shared" si="13"/>
        <v>25</v>
      </c>
      <c r="I69" s="12" t="s">
        <v>67</v>
      </c>
      <c r="J69" s="95" t="s">
        <v>26</v>
      </c>
      <c r="K69" s="79" t="s">
        <v>89</v>
      </c>
      <c r="L69" s="11" t="s">
        <v>48</v>
      </c>
      <c r="M69" s="52" t="s">
        <v>61</v>
      </c>
      <c r="N69" s="52" t="s">
        <v>62</v>
      </c>
      <c r="O69" s="274">
        <v>45981.0</v>
      </c>
      <c r="P69" s="59">
        <f t="shared" si="17"/>
        <v>46041</v>
      </c>
      <c r="Q69" s="7"/>
      <c r="R69" s="12" t="s">
        <v>39</v>
      </c>
      <c r="S69" s="100" t="s">
        <v>63</v>
      </c>
      <c r="T69" s="100" t="s">
        <v>63</v>
      </c>
      <c r="U69" s="36" t="s">
        <v>819</v>
      </c>
    </row>
    <row r="70" ht="15.75" customHeight="1">
      <c r="A70" s="200" t="s">
        <v>267</v>
      </c>
      <c r="B70" s="193">
        <v>3.15916E7</v>
      </c>
      <c r="C70" s="196" t="s">
        <v>820</v>
      </c>
      <c r="D70" s="166">
        <v>38599.0</v>
      </c>
      <c r="E70" s="196">
        <v>3.23876028E9</v>
      </c>
      <c r="F70" s="196" t="s">
        <v>821</v>
      </c>
      <c r="G70" s="196" t="s">
        <v>822</v>
      </c>
      <c r="H70" s="79">
        <f t="shared" si="13"/>
        <v>21</v>
      </c>
      <c r="I70" s="102" t="s">
        <v>67</v>
      </c>
      <c r="J70" s="95" t="s">
        <v>26</v>
      </c>
      <c r="K70" s="79" t="s">
        <v>89</v>
      </c>
      <c r="L70" s="11" t="s">
        <v>48</v>
      </c>
      <c r="M70" s="52" t="s">
        <v>61</v>
      </c>
      <c r="N70" s="52" t="s">
        <v>62</v>
      </c>
      <c r="O70" s="98">
        <v>46015.0</v>
      </c>
      <c r="P70" s="17">
        <f t="shared" si="17"/>
        <v>46075</v>
      </c>
      <c r="Q70" s="7"/>
      <c r="R70" s="12" t="s">
        <v>39</v>
      </c>
      <c r="S70" s="100" t="s">
        <v>63</v>
      </c>
      <c r="T70" s="100" t="s">
        <v>63</v>
      </c>
      <c r="U70" s="36" t="s">
        <v>229</v>
      </c>
    </row>
    <row r="71" ht="15.75" customHeight="1">
      <c r="A71" s="40" t="s">
        <v>21</v>
      </c>
      <c r="B71" s="193">
        <v>6389467.0</v>
      </c>
      <c r="C71" s="196" t="s">
        <v>241</v>
      </c>
      <c r="D71" s="260">
        <v>37566.0</v>
      </c>
      <c r="E71" s="196">
        <v>3.243832647E9</v>
      </c>
      <c r="F71" s="196" t="s">
        <v>823</v>
      </c>
      <c r="G71" s="196" t="s">
        <v>824</v>
      </c>
      <c r="H71" s="79">
        <f t="shared" si="13"/>
        <v>24</v>
      </c>
      <c r="I71" s="12" t="s">
        <v>25</v>
      </c>
      <c r="J71" s="7" t="s">
        <v>35</v>
      </c>
      <c r="K71" s="61" t="s">
        <v>36</v>
      </c>
      <c r="L71" s="11" t="s">
        <v>28</v>
      </c>
      <c r="M71" s="42" t="s">
        <v>61</v>
      </c>
      <c r="N71" s="42" t="s">
        <v>62</v>
      </c>
      <c r="O71" s="164">
        <v>45946.0</v>
      </c>
      <c r="P71" s="285">
        <f>O71+60</f>
        <v>46006</v>
      </c>
      <c r="Q71" s="22"/>
      <c r="R71" s="12" t="s">
        <v>39</v>
      </c>
      <c r="S71" s="100" t="s">
        <v>63</v>
      </c>
      <c r="T71" s="100" t="s">
        <v>63</v>
      </c>
      <c r="U71" s="36" t="s">
        <v>504</v>
      </c>
    </row>
    <row r="72" ht="15.75" customHeight="1">
      <c r="G72" s="293"/>
      <c r="O72" s="220"/>
    </row>
    <row r="73" ht="15.75" customHeight="1">
      <c r="G73" s="293"/>
      <c r="O73" s="220"/>
    </row>
    <row r="74" ht="15.75" customHeight="1">
      <c r="G74" s="293"/>
      <c r="O74" s="220"/>
    </row>
    <row r="75" ht="15.75" customHeight="1">
      <c r="G75" s="293"/>
      <c r="O75" s="220"/>
    </row>
    <row r="76" ht="15.75" customHeight="1">
      <c r="O76" s="220"/>
    </row>
    <row r="77" ht="15.75" customHeight="1">
      <c r="O77" s="220"/>
    </row>
    <row r="78" ht="15.75" customHeight="1">
      <c r="O78" s="220"/>
    </row>
    <row r="79" ht="15.75" customHeight="1">
      <c r="O79" s="220"/>
    </row>
    <row r="80" ht="15.75" customHeight="1">
      <c r="O80" s="220"/>
    </row>
    <row r="81" ht="15.75" customHeight="1">
      <c r="O81" s="220"/>
    </row>
    <row r="82" ht="15.75" customHeight="1">
      <c r="O82" s="220"/>
    </row>
    <row r="83" ht="15.75" customHeight="1">
      <c r="O83" s="220"/>
    </row>
    <row r="84" ht="15.75" customHeight="1">
      <c r="O84" s="220"/>
    </row>
    <row r="85" ht="15.75" customHeight="1">
      <c r="O85" s="220"/>
    </row>
    <row r="86" ht="15.75" customHeight="1">
      <c r="O86" s="220"/>
    </row>
    <row r="87" ht="15.75" customHeight="1">
      <c r="O87" s="220"/>
    </row>
    <row r="88" ht="15.75" customHeight="1">
      <c r="O88" s="220"/>
    </row>
    <row r="89" ht="15.75" customHeight="1">
      <c r="O89" s="220"/>
    </row>
    <row r="90" ht="15.75" customHeight="1">
      <c r="O90" s="220"/>
    </row>
    <row r="91" ht="15.75" customHeight="1">
      <c r="O91" s="220"/>
    </row>
    <row r="92" ht="15.75" customHeight="1">
      <c r="O92" s="220"/>
    </row>
    <row r="93" ht="15.75" customHeight="1">
      <c r="O93" s="220"/>
    </row>
    <row r="94" ht="15.75" customHeight="1">
      <c r="O94" s="220"/>
    </row>
    <row r="95" ht="15.75" customHeight="1">
      <c r="O95" s="220"/>
    </row>
    <row r="96" ht="15.75" customHeight="1">
      <c r="O96" s="220"/>
    </row>
    <row r="97" ht="15.75" customHeight="1">
      <c r="O97" s="220"/>
    </row>
    <row r="98" ht="15.75" customHeight="1">
      <c r="O98" s="220"/>
    </row>
    <row r="99" ht="15.75" customHeight="1">
      <c r="O99" s="220"/>
    </row>
    <row r="100" ht="15.75" customHeight="1">
      <c r="O100" s="220"/>
    </row>
    <row r="101" ht="15.75" customHeight="1">
      <c r="O101" s="220"/>
    </row>
    <row r="102" ht="15.75" customHeight="1">
      <c r="O102" s="220"/>
    </row>
    <row r="103" ht="15.75" customHeight="1">
      <c r="O103" s="220"/>
    </row>
    <row r="104" ht="15.75" customHeight="1">
      <c r="O104" s="220"/>
    </row>
    <row r="105" ht="15.75" customHeight="1">
      <c r="O105" s="220"/>
    </row>
    <row r="106" ht="15.75" customHeight="1">
      <c r="O106" s="220"/>
    </row>
    <row r="107" ht="15.75" customHeight="1">
      <c r="O107" s="220"/>
    </row>
    <row r="108" ht="15.75" customHeight="1">
      <c r="O108" s="220"/>
    </row>
    <row r="109" ht="15.75" customHeight="1">
      <c r="O109" s="220"/>
    </row>
    <row r="110" ht="15.75" customHeight="1">
      <c r="O110" s="220"/>
    </row>
    <row r="111" ht="15.75" customHeight="1">
      <c r="O111" s="220"/>
    </row>
    <row r="112" ht="15.75" customHeight="1">
      <c r="O112" s="220"/>
    </row>
    <row r="113" ht="15.75" customHeight="1">
      <c r="O113" s="220"/>
    </row>
    <row r="114" ht="15.75" customHeight="1">
      <c r="O114" s="220"/>
    </row>
    <row r="115" ht="15.75" customHeight="1">
      <c r="O115" s="220"/>
    </row>
    <row r="116" ht="15.75" customHeight="1">
      <c r="O116" s="220"/>
    </row>
    <row r="117" ht="15.75" customHeight="1">
      <c r="O117" s="220"/>
    </row>
    <row r="118" ht="15.75" customHeight="1">
      <c r="O118" s="220"/>
    </row>
    <row r="119" ht="15.75" customHeight="1">
      <c r="O119" s="220"/>
    </row>
    <row r="120" ht="15.75" customHeight="1">
      <c r="O120" s="220"/>
    </row>
    <row r="121" ht="15.75" customHeight="1">
      <c r="O121" s="220"/>
    </row>
    <row r="122" ht="15.75" customHeight="1">
      <c r="O122" s="220"/>
    </row>
    <row r="123" ht="15.75" customHeight="1">
      <c r="O123" s="220"/>
    </row>
    <row r="124" ht="15.75" customHeight="1">
      <c r="O124" s="220"/>
    </row>
    <row r="125" ht="15.75" customHeight="1">
      <c r="O125" s="220"/>
    </row>
    <row r="126" ht="15.75" customHeight="1">
      <c r="O126" s="220"/>
    </row>
    <row r="127" ht="15.75" customHeight="1">
      <c r="O127" s="220"/>
    </row>
    <row r="128" ht="15.75" customHeight="1">
      <c r="O128" s="220"/>
    </row>
    <row r="129" ht="15.75" customHeight="1">
      <c r="O129" s="220"/>
    </row>
    <row r="130" ht="15.75" customHeight="1">
      <c r="O130" s="220"/>
    </row>
    <row r="131" ht="15.75" customHeight="1">
      <c r="O131" s="220"/>
    </row>
    <row r="132" ht="15.75" customHeight="1">
      <c r="O132" s="220"/>
    </row>
    <row r="133" ht="15.75" customHeight="1">
      <c r="O133" s="220"/>
    </row>
    <row r="134" ht="15.75" customHeight="1">
      <c r="O134" s="220"/>
    </row>
    <row r="135" ht="15.75" customHeight="1">
      <c r="O135" s="220"/>
    </row>
    <row r="136" ht="15.75" customHeight="1">
      <c r="O136" s="220"/>
    </row>
    <row r="137" ht="15.75" customHeight="1">
      <c r="O137" s="220"/>
    </row>
    <row r="138" ht="15.75" customHeight="1">
      <c r="O138" s="220"/>
    </row>
    <row r="139" ht="15.75" customHeight="1">
      <c r="O139" s="220"/>
    </row>
    <row r="140" ht="15.75" customHeight="1">
      <c r="O140" s="220"/>
    </row>
    <row r="141" ht="15.75" customHeight="1">
      <c r="O141" s="220"/>
    </row>
    <row r="142" ht="15.75" customHeight="1">
      <c r="O142" s="220"/>
    </row>
    <row r="143" ht="15.75" customHeight="1">
      <c r="O143" s="220"/>
    </row>
    <row r="144" ht="15.75" customHeight="1">
      <c r="O144" s="220"/>
    </row>
    <row r="145" ht="15.75" customHeight="1">
      <c r="O145" s="220"/>
    </row>
    <row r="146" ht="15.75" customHeight="1">
      <c r="O146" s="220"/>
    </row>
    <row r="147" ht="15.75" customHeight="1">
      <c r="O147" s="220"/>
    </row>
    <row r="148" ht="15.75" customHeight="1">
      <c r="O148" s="220"/>
    </row>
    <row r="149" ht="15.75" customHeight="1">
      <c r="O149" s="220"/>
    </row>
    <row r="150" ht="15.75" customHeight="1">
      <c r="O150" s="220"/>
    </row>
    <row r="151" ht="15.75" customHeight="1">
      <c r="O151" s="220"/>
    </row>
    <row r="152" ht="15.75" customHeight="1">
      <c r="O152" s="220"/>
    </row>
    <row r="153" ht="15.75" customHeight="1">
      <c r="O153" s="220"/>
    </row>
    <row r="154" ht="15.75" customHeight="1">
      <c r="O154" s="220"/>
    </row>
    <row r="155" ht="15.75" customHeight="1">
      <c r="O155" s="220"/>
    </row>
    <row r="156" ht="15.75" customHeight="1">
      <c r="O156" s="220"/>
    </row>
    <row r="157" ht="15.75" customHeight="1">
      <c r="O157" s="220"/>
    </row>
    <row r="158" ht="15.75" customHeight="1">
      <c r="O158" s="220"/>
    </row>
    <row r="159" ht="15.75" customHeight="1">
      <c r="O159" s="220"/>
    </row>
    <row r="160" ht="15.75" customHeight="1">
      <c r="O160" s="220"/>
    </row>
    <row r="161" ht="15.75" customHeight="1">
      <c r="O161" s="220"/>
    </row>
    <row r="162" ht="15.75" customHeight="1">
      <c r="O162" s="220"/>
    </row>
    <row r="163" ht="15.75" customHeight="1">
      <c r="O163" s="220"/>
    </row>
    <row r="164" ht="15.75" customHeight="1">
      <c r="O164" s="220"/>
    </row>
    <row r="165" ht="15.75" customHeight="1">
      <c r="O165" s="220"/>
    </row>
    <row r="166" ht="15.75" customHeight="1">
      <c r="O166" s="220"/>
    </row>
    <row r="167" ht="15.75" customHeight="1">
      <c r="O167" s="220"/>
    </row>
    <row r="168" ht="15.75" customHeight="1">
      <c r="O168" s="220"/>
    </row>
    <row r="169" ht="15.75" customHeight="1">
      <c r="O169" s="220"/>
    </row>
    <row r="170" ht="15.75" customHeight="1">
      <c r="O170" s="220"/>
    </row>
    <row r="171" ht="15.75" customHeight="1">
      <c r="O171" s="220"/>
    </row>
    <row r="172" ht="15.75" customHeight="1">
      <c r="O172" s="220"/>
    </row>
    <row r="173" ht="15.75" customHeight="1">
      <c r="O173" s="220"/>
    </row>
    <row r="174" ht="15.75" customHeight="1">
      <c r="O174" s="220"/>
    </row>
    <row r="175" ht="15.75" customHeight="1">
      <c r="O175" s="220"/>
    </row>
    <row r="176" ht="15.75" customHeight="1">
      <c r="O176" s="220"/>
    </row>
    <row r="177" ht="15.75" customHeight="1">
      <c r="O177" s="220"/>
    </row>
    <row r="178" ht="15.75" customHeight="1">
      <c r="O178" s="220"/>
    </row>
    <row r="179" ht="15.75" customHeight="1">
      <c r="O179" s="220"/>
    </row>
    <row r="180" ht="15.75" customHeight="1">
      <c r="O180" s="220"/>
    </row>
    <row r="181" ht="15.75" customHeight="1">
      <c r="O181" s="220"/>
    </row>
    <row r="182" ht="15.75" customHeight="1">
      <c r="O182" s="220"/>
    </row>
    <row r="183" ht="15.75" customHeight="1">
      <c r="O183" s="220"/>
    </row>
    <row r="184" ht="15.75" customHeight="1">
      <c r="O184" s="220"/>
    </row>
    <row r="185" ht="15.75" customHeight="1">
      <c r="O185" s="220"/>
    </row>
    <row r="186" ht="15.75" customHeight="1">
      <c r="O186" s="220"/>
    </row>
    <row r="187" ht="15.75" customHeight="1">
      <c r="O187" s="220"/>
    </row>
    <row r="188" ht="15.75" customHeight="1">
      <c r="O188" s="220"/>
    </row>
    <row r="189" ht="15.75" customHeight="1">
      <c r="O189" s="220"/>
    </row>
    <row r="190" ht="15.75" customHeight="1">
      <c r="O190" s="220"/>
    </row>
    <row r="191" ht="15.75" customHeight="1">
      <c r="O191" s="220"/>
    </row>
    <row r="192" ht="15.75" customHeight="1">
      <c r="O192" s="220"/>
    </row>
    <row r="193" ht="15.75" customHeight="1">
      <c r="O193" s="220"/>
    </row>
    <row r="194" ht="15.75" customHeight="1">
      <c r="O194" s="220"/>
    </row>
    <row r="195" ht="15.75" customHeight="1">
      <c r="O195" s="220"/>
    </row>
    <row r="196" ht="15.75" customHeight="1">
      <c r="O196" s="220"/>
    </row>
    <row r="197" ht="15.75" customHeight="1">
      <c r="O197" s="220"/>
    </row>
    <row r="198" ht="15.75" customHeight="1">
      <c r="O198" s="220"/>
    </row>
    <row r="199" ht="15.75" customHeight="1">
      <c r="O199" s="220"/>
    </row>
    <row r="200" ht="15.75" customHeight="1">
      <c r="O200" s="220"/>
    </row>
    <row r="201" ht="15.75" customHeight="1">
      <c r="O201" s="220"/>
    </row>
    <row r="202" ht="15.75" customHeight="1">
      <c r="O202" s="220"/>
    </row>
    <row r="203" ht="15.75" customHeight="1">
      <c r="O203" s="220"/>
    </row>
    <row r="204" ht="15.75" customHeight="1">
      <c r="O204" s="220"/>
    </row>
    <row r="205" ht="15.75" customHeight="1">
      <c r="O205" s="220"/>
    </row>
    <row r="206" ht="15.75" customHeight="1">
      <c r="O206" s="220"/>
    </row>
    <row r="207" ht="15.75" customHeight="1">
      <c r="O207" s="220"/>
    </row>
    <row r="208" ht="15.75" customHeight="1">
      <c r="O208" s="220"/>
    </row>
    <row r="209" ht="15.75" customHeight="1">
      <c r="O209" s="220"/>
    </row>
    <row r="210" ht="15.75" customHeight="1">
      <c r="O210" s="220"/>
    </row>
    <row r="211" ht="15.75" customHeight="1">
      <c r="O211" s="220"/>
    </row>
    <row r="212" ht="15.75" customHeight="1">
      <c r="O212" s="220"/>
    </row>
    <row r="213" ht="15.75" customHeight="1">
      <c r="O213" s="220"/>
    </row>
    <row r="214" ht="15.75" customHeight="1">
      <c r="O214" s="220"/>
    </row>
    <row r="215" ht="15.75" customHeight="1">
      <c r="O215" s="220"/>
    </row>
    <row r="216" ht="15.75" customHeight="1">
      <c r="O216" s="220"/>
    </row>
    <row r="217" ht="15.75" customHeight="1">
      <c r="O217" s="220"/>
    </row>
    <row r="218" ht="15.75" customHeight="1">
      <c r="O218" s="220"/>
    </row>
    <row r="219" ht="15.75" customHeight="1">
      <c r="O219" s="220"/>
    </row>
    <row r="220" ht="15.75" customHeight="1">
      <c r="O220" s="220"/>
    </row>
    <row r="221" ht="15.75" customHeight="1">
      <c r="O221" s="220"/>
    </row>
    <row r="222" ht="15.75" customHeight="1">
      <c r="O222" s="220"/>
    </row>
    <row r="223" ht="15.75" customHeight="1">
      <c r="O223" s="220"/>
    </row>
    <row r="224" ht="15.75" customHeight="1">
      <c r="O224" s="220"/>
    </row>
    <row r="225" ht="15.75" customHeight="1">
      <c r="O225" s="220"/>
    </row>
    <row r="226" ht="15.75" customHeight="1">
      <c r="O226" s="220"/>
    </row>
    <row r="227" ht="15.75" customHeight="1">
      <c r="O227" s="220"/>
    </row>
    <row r="228" ht="15.75" customHeight="1">
      <c r="O228" s="220"/>
    </row>
    <row r="229" ht="15.75" customHeight="1">
      <c r="O229" s="220"/>
    </row>
    <row r="230" ht="15.75" customHeight="1">
      <c r="O230" s="220"/>
    </row>
    <row r="231" ht="15.75" customHeight="1">
      <c r="O231" s="220"/>
    </row>
    <row r="232" ht="15.75" customHeight="1">
      <c r="O232" s="220"/>
    </row>
    <row r="233" ht="15.75" customHeight="1">
      <c r="O233" s="220"/>
    </row>
    <row r="234" ht="15.75" customHeight="1">
      <c r="O234" s="220"/>
    </row>
    <row r="235" ht="15.75" customHeight="1">
      <c r="O235" s="220"/>
    </row>
    <row r="236" ht="15.75" customHeight="1">
      <c r="O236" s="220"/>
    </row>
    <row r="237" ht="15.75" customHeight="1">
      <c r="O237" s="220"/>
    </row>
    <row r="238" ht="15.75" customHeight="1">
      <c r="O238" s="220"/>
    </row>
    <row r="239" ht="15.75" customHeight="1">
      <c r="O239" s="220"/>
    </row>
    <row r="240" ht="15.75" customHeight="1">
      <c r="O240" s="220"/>
    </row>
    <row r="241" ht="15.75" customHeight="1">
      <c r="O241" s="220"/>
    </row>
    <row r="242" ht="15.75" customHeight="1">
      <c r="O242" s="220"/>
    </row>
    <row r="243" ht="15.75" customHeight="1">
      <c r="O243" s="220"/>
    </row>
    <row r="244" ht="15.75" customHeight="1">
      <c r="O244" s="220"/>
    </row>
    <row r="245" ht="15.75" customHeight="1">
      <c r="O245" s="220"/>
    </row>
    <row r="246" ht="15.75" customHeight="1">
      <c r="O246" s="220"/>
    </row>
    <row r="247" ht="15.75" customHeight="1">
      <c r="O247" s="220"/>
    </row>
    <row r="248" ht="15.75" customHeight="1">
      <c r="O248" s="220"/>
    </row>
    <row r="249" ht="15.75" customHeight="1">
      <c r="O249" s="220"/>
    </row>
    <row r="250" ht="15.75" customHeight="1">
      <c r="O250" s="220"/>
    </row>
    <row r="251" ht="15.75" customHeight="1">
      <c r="O251" s="220"/>
    </row>
    <row r="252" ht="15.75" customHeight="1">
      <c r="O252" s="220"/>
    </row>
    <row r="253" ht="15.75" customHeight="1">
      <c r="O253" s="220"/>
    </row>
    <row r="254" ht="15.75" customHeight="1">
      <c r="O254" s="220"/>
    </row>
    <row r="255" ht="15.75" customHeight="1">
      <c r="O255" s="220"/>
    </row>
    <row r="256" ht="15.75" customHeight="1">
      <c r="O256" s="220"/>
    </row>
    <row r="257" ht="15.75" customHeight="1">
      <c r="O257" s="220"/>
    </row>
    <row r="258" ht="15.75" customHeight="1">
      <c r="O258" s="220"/>
    </row>
    <row r="259" ht="15.75" customHeight="1">
      <c r="O259" s="220"/>
    </row>
    <row r="260" ht="15.75" customHeight="1">
      <c r="O260" s="220"/>
    </row>
    <row r="261" ht="15.75" customHeight="1">
      <c r="O261" s="220"/>
    </row>
    <row r="262" ht="15.75" customHeight="1">
      <c r="O262" s="220"/>
    </row>
    <row r="263" ht="15.75" customHeight="1">
      <c r="O263" s="220"/>
    </row>
    <row r="264" ht="15.75" customHeight="1">
      <c r="O264" s="220"/>
    </row>
    <row r="265" ht="15.75" customHeight="1">
      <c r="O265" s="220"/>
    </row>
    <row r="266" ht="15.75" customHeight="1">
      <c r="O266" s="220"/>
    </row>
    <row r="267" ht="15.75" customHeight="1">
      <c r="O267" s="220"/>
    </row>
    <row r="268" ht="15.75" customHeight="1">
      <c r="O268" s="220"/>
    </row>
    <row r="269" ht="15.75" customHeight="1">
      <c r="O269" s="220"/>
    </row>
    <row r="270" ht="15.75" customHeight="1">
      <c r="O270" s="220"/>
    </row>
    <row r="271" ht="15.75" customHeight="1">
      <c r="O271" s="220"/>
    </row>
    <row r="272" ht="15.75" customHeight="1">
      <c r="O272" s="220"/>
    </row>
    <row r="273" ht="15.75" customHeight="1">
      <c r="O273" s="220"/>
    </row>
    <row r="274" ht="15.75" customHeight="1">
      <c r="O274" s="220"/>
    </row>
    <row r="275" ht="15.75" customHeight="1">
      <c r="O275" s="220"/>
    </row>
    <row r="276" ht="15.75" customHeight="1">
      <c r="O276" s="220"/>
    </row>
    <row r="277" ht="15.75" customHeight="1">
      <c r="O277" s="220"/>
    </row>
    <row r="278" ht="15.75" customHeight="1">
      <c r="O278" s="220"/>
    </row>
    <row r="279" ht="15.75" customHeight="1">
      <c r="O279" s="220"/>
    </row>
    <row r="280" ht="15.75" customHeight="1">
      <c r="O280" s="220"/>
    </row>
    <row r="281" ht="15.75" customHeight="1">
      <c r="O281" s="220"/>
    </row>
    <row r="282" ht="15.75" customHeight="1">
      <c r="O282" s="220"/>
    </row>
    <row r="283" ht="15.75" customHeight="1">
      <c r="O283" s="220"/>
    </row>
    <row r="284" ht="15.75" customHeight="1">
      <c r="O284" s="220"/>
    </row>
    <row r="285" ht="15.75" customHeight="1">
      <c r="O285" s="220"/>
    </row>
    <row r="286" ht="15.75" customHeight="1">
      <c r="O286" s="220"/>
    </row>
    <row r="287" ht="15.75" customHeight="1">
      <c r="O287" s="220"/>
    </row>
    <row r="288" ht="15.75" customHeight="1">
      <c r="O288" s="220"/>
    </row>
    <row r="289" ht="15.75" customHeight="1">
      <c r="O289" s="220"/>
    </row>
    <row r="290" ht="15.75" customHeight="1">
      <c r="O290" s="220"/>
    </row>
    <row r="291" ht="15.75" customHeight="1">
      <c r="O291" s="220"/>
    </row>
    <row r="292" ht="15.75" customHeight="1">
      <c r="O292" s="220"/>
    </row>
    <row r="293" ht="15.75" customHeight="1">
      <c r="O293" s="220"/>
    </row>
    <row r="294" ht="15.75" customHeight="1">
      <c r="O294" s="220"/>
    </row>
    <row r="295" ht="15.75" customHeight="1">
      <c r="O295" s="220"/>
    </row>
    <row r="296" ht="15.75" customHeight="1">
      <c r="O296" s="220"/>
    </row>
    <row r="297" ht="15.75" customHeight="1">
      <c r="O297" s="220"/>
    </row>
    <row r="298" ht="15.75" customHeight="1">
      <c r="O298" s="220"/>
    </row>
    <row r="299" ht="15.75" customHeight="1">
      <c r="O299" s="220"/>
    </row>
    <row r="300" ht="15.75" customHeight="1">
      <c r="O300" s="220"/>
    </row>
    <row r="301" ht="15.75" customHeight="1">
      <c r="O301" s="220"/>
    </row>
    <row r="302" ht="15.75" customHeight="1">
      <c r="O302" s="220"/>
    </row>
    <row r="303" ht="15.75" customHeight="1">
      <c r="O303" s="220"/>
    </row>
    <row r="304" ht="15.75" customHeight="1">
      <c r="O304" s="220"/>
    </row>
    <row r="305" ht="15.75" customHeight="1">
      <c r="O305" s="220"/>
    </row>
    <row r="306" ht="15.75" customHeight="1">
      <c r="O306" s="220"/>
    </row>
    <row r="307" ht="15.75" customHeight="1">
      <c r="O307" s="220"/>
    </row>
    <row r="308" ht="15.75" customHeight="1">
      <c r="O308" s="220"/>
    </row>
    <row r="309" ht="15.75" customHeight="1">
      <c r="O309" s="220"/>
    </row>
    <row r="310" ht="15.75" customHeight="1">
      <c r="O310" s="220"/>
    </row>
    <row r="311" ht="15.75" customHeight="1">
      <c r="O311" s="220"/>
    </row>
    <row r="312" ht="15.75" customHeight="1">
      <c r="O312" s="220"/>
    </row>
    <row r="313" ht="15.75" customHeight="1">
      <c r="O313" s="220"/>
    </row>
    <row r="314" ht="15.75" customHeight="1">
      <c r="O314" s="220"/>
    </row>
    <row r="315" ht="15.75" customHeight="1">
      <c r="O315" s="220"/>
    </row>
    <row r="316" ht="15.75" customHeight="1">
      <c r="O316" s="220"/>
    </row>
    <row r="317" ht="15.75" customHeight="1">
      <c r="O317" s="220"/>
    </row>
    <row r="318" ht="15.75" customHeight="1">
      <c r="O318" s="220"/>
    </row>
    <row r="319" ht="15.75" customHeight="1">
      <c r="O319" s="220"/>
    </row>
    <row r="320" ht="15.75" customHeight="1">
      <c r="O320" s="220"/>
    </row>
    <row r="321" ht="15.75" customHeight="1">
      <c r="O321" s="220"/>
    </row>
    <row r="322" ht="15.75" customHeight="1">
      <c r="O322" s="220"/>
    </row>
    <row r="323" ht="15.75" customHeight="1">
      <c r="O323" s="220"/>
    </row>
    <row r="324" ht="15.75" customHeight="1">
      <c r="O324" s="220"/>
    </row>
    <row r="325" ht="15.75" customHeight="1">
      <c r="O325" s="220"/>
    </row>
    <row r="326" ht="15.75" customHeight="1">
      <c r="O326" s="220"/>
    </row>
    <row r="327" ht="15.75" customHeight="1">
      <c r="O327" s="220"/>
    </row>
    <row r="328" ht="15.75" customHeight="1">
      <c r="O328" s="220"/>
    </row>
    <row r="329" ht="15.75" customHeight="1">
      <c r="O329" s="220"/>
    </row>
    <row r="330" ht="15.75" customHeight="1">
      <c r="O330" s="220"/>
    </row>
    <row r="331" ht="15.75" customHeight="1">
      <c r="O331" s="220"/>
    </row>
    <row r="332" ht="15.75" customHeight="1">
      <c r="O332" s="220"/>
    </row>
    <row r="333" ht="15.75" customHeight="1">
      <c r="O333" s="220"/>
    </row>
    <row r="334" ht="15.75" customHeight="1">
      <c r="O334" s="220"/>
    </row>
    <row r="335" ht="15.75" customHeight="1">
      <c r="O335" s="220"/>
    </row>
    <row r="336" ht="15.75" customHeight="1">
      <c r="O336" s="220"/>
    </row>
    <row r="337" ht="15.75" customHeight="1">
      <c r="O337" s="220"/>
    </row>
    <row r="338" ht="15.75" customHeight="1">
      <c r="O338" s="220"/>
    </row>
    <row r="339" ht="15.75" customHeight="1">
      <c r="O339" s="220"/>
    </row>
    <row r="340" ht="15.75" customHeight="1">
      <c r="O340" s="220"/>
    </row>
    <row r="341" ht="15.75" customHeight="1">
      <c r="O341" s="220"/>
    </row>
    <row r="342" ht="15.75" customHeight="1">
      <c r="O342" s="220"/>
    </row>
    <row r="343" ht="15.75" customHeight="1">
      <c r="O343" s="220"/>
    </row>
    <row r="344" ht="15.75" customHeight="1">
      <c r="O344" s="220"/>
    </row>
    <row r="345" ht="15.75" customHeight="1">
      <c r="O345" s="220"/>
    </row>
    <row r="346" ht="15.75" customHeight="1">
      <c r="O346" s="220"/>
    </row>
    <row r="347" ht="15.75" customHeight="1">
      <c r="O347" s="220"/>
    </row>
    <row r="348" ht="15.75" customHeight="1">
      <c r="O348" s="220"/>
    </row>
    <row r="349" ht="15.75" customHeight="1">
      <c r="O349" s="220"/>
    </row>
    <row r="350" ht="15.75" customHeight="1">
      <c r="O350" s="220"/>
    </row>
    <row r="351" ht="15.75" customHeight="1">
      <c r="O351" s="220"/>
    </row>
    <row r="352" ht="15.75" customHeight="1">
      <c r="O352" s="220"/>
    </row>
    <row r="353" ht="15.75" customHeight="1">
      <c r="O353" s="220"/>
    </row>
    <row r="354" ht="15.75" customHeight="1">
      <c r="O354" s="220"/>
    </row>
    <row r="355" ht="15.75" customHeight="1">
      <c r="O355" s="220"/>
    </row>
    <row r="356" ht="15.75" customHeight="1">
      <c r="O356" s="220"/>
    </row>
    <row r="357" ht="15.75" customHeight="1">
      <c r="O357" s="220"/>
    </row>
    <row r="358" ht="15.75" customHeight="1">
      <c r="O358" s="220"/>
    </row>
    <row r="359" ht="15.75" customHeight="1">
      <c r="O359" s="220"/>
    </row>
    <row r="360" ht="15.75" customHeight="1">
      <c r="O360" s="220"/>
    </row>
    <row r="361" ht="15.75" customHeight="1">
      <c r="O361" s="220"/>
    </row>
    <row r="362" ht="15.75" customHeight="1">
      <c r="O362" s="220"/>
    </row>
    <row r="363" ht="15.75" customHeight="1">
      <c r="O363" s="220"/>
    </row>
    <row r="364" ht="15.75" customHeight="1">
      <c r="O364" s="220"/>
    </row>
    <row r="365" ht="15.75" customHeight="1">
      <c r="O365" s="220"/>
    </row>
    <row r="366" ht="15.75" customHeight="1">
      <c r="O366" s="220"/>
    </row>
    <row r="367" ht="15.75" customHeight="1">
      <c r="O367" s="220"/>
    </row>
    <row r="368" ht="15.75" customHeight="1">
      <c r="O368" s="220"/>
    </row>
    <row r="369" ht="15.75" customHeight="1">
      <c r="O369" s="220"/>
    </row>
    <row r="370" ht="15.75" customHeight="1">
      <c r="O370" s="220"/>
    </row>
    <row r="371" ht="15.75" customHeight="1">
      <c r="O371" s="220"/>
    </row>
    <row r="372" ht="15.75" customHeight="1">
      <c r="O372" s="220"/>
    </row>
    <row r="373" ht="15.75" customHeight="1">
      <c r="O373" s="220"/>
    </row>
    <row r="374" ht="15.75" customHeight="1">
      <c r="O374" s="220"/>
    </row>
    <row r="375" ht="15.75" customHeight="1">
      <c r="O375" s="220"/>
    </row>
    <row r="376" ht="15.75" customHeight="1">
      <c r="O376" s="220"/>
    </row>
    <row r="377" ht="15.75" customHeight="1">
      <c r="O377" s="220"/>
    </row>
    <row r="378" ht="15.75" customHeight="1">
      <c r="O378" s="220"/>
    </row>
    <row r="379" ht="15.75" customHeight="1">
      <c r="O379" s="220"/>
    </row>
    <row r="380" ht="15.75" customHeight="1">
      <c r="O380" s="220"/>
    </row>
    <row r="381" ht="15.75" customHeight="1">
      <c r="O381" s="220"/>
    </row>
    <row r="382" ht="15.75" customHeight="1">
      <c r="O382" s="220"/>
    </row>
    <row r="383" ht="15.75" customHeight="1">
      <c r="O383" s="220"/>
    </row>
    <row r="384" ht="15.75" customHeight="1">
      <c r="O384" s="220"/>
    </row>
    <row r="385" ht="15.75" customHeight="1">
      <c r="O385" s="220"/>
    </row>
    <row r="386" ht="15.75" customHeight="1">
      <c r="O386" s="220"/>
    </row>
    <row r="387" ht="15.75" customHeight="1">
      <c r="O387" s="220"/>
    </row>
    <row r="388" ht="15.75" customHeight="1">
      <c r="O388" s="220"/>
    </row>
    <row r="389" ht="15.75" customHeight="1">
      <c r="O389" s="220"/>
    </row>
    <row r="390" ht="15.75" customHeight="1">
      <c r="O390" s="220"/>
    </row>
    <row r="391" ht="15.75" customHeight="1">
      <c r="O391" s="220"/>
    </row>
    <row r="392" ht="15.75" customHeight="1">
      <c r="O392" s="220"/>
    </row>
    <row r="393" ht="15.75" customHeight="1">
      <c r="O393" s="220"/>
    </row>
    <row r="394" ht="15.75" customHeight="1">
      <c r="O394" s="220"/>
    </row>
    <row r="395" ht="15.75" customHeight="1">
      <c r="O395" s="220"/>
    </row>
    <row r="396" ht="15.75" customHeight="1">
      <c r="O396" s="220"/>
    </row>
    <row r="397" ht="15.75" customHeight="1">
      <c r="O397" s="220"/>
    </row>
    <row r="398" ht="15.75" customHeight="1">
      <c r="O398" s="220"/>
    </row>
    <row r="399" ht="15.75" customHeight="1">
      <c r="O399" s="220"/>
    </row>
    <row r="400" ht="15.75" customHeight="1">
      <c r="O400" s="220"/>
    </row>
    <row r="401" ht="15.75" customHeight="1">
      <c r="O401" s="220"/>
    </row>
    <row r="402" ht="15.75" customHeight="1">
      <c r="O402" s="220"/>
    </row>
    <row r="403" ht="15.75" customHeight="1">
      <c r="O403" s="220"/>
    </row>
    <row r="404" ht="15.75" customHeight="1">
      <c r="O404" s="220"/>
    </row>
    <row r="405" ht="15.75" customHeight="1">
      <c r="O405" s="220"/>
    </row>
    <row r="406" ht="15.75" customHeight="1">
      <c r="O406" s="220"/>
    </row>
    <row r="407" ht="15.75" customHeight="1">
      <c r="O407" s="220"/>
    </row>
    <row r="408" ht="15.75" customHeight="1">
      <c r="O408" s="220"/>
    </row>
    <row r="409" ht="15.75" customHeight="1">
      <c r="O409" s="220"/>
    </row>
    <row r="410" ht="15.75" customHeight="1">
      <c r="O410" s="220"/>
    </row>
    <row r="411" ht="15.75" customHeight="1">
      <c r="O411" s="220"/>
    </row>
    <row r="412" ht="15.75" customHeight="1">
      <c r="O412" s="220"/>
    </row>
    <row r="413" ht="15.75" customHeight="1">
      <c r="O413" s="220"/>
    </row>
    <row r="414" ht="15.75" customHeight="1">
      <c r="O414" s="220"/>
    </row>
    <row r="415" ht="15.75" customHeight="1">
      <c r="O415" s="220"/>
    </row>
    <row r="416" ht="15.75" customHeight="1">
      <c r="O416" s="220"/>
    </row>
    <row r="417" ht="15.75" customHeight="1">
      <c r="O417" s="220"/>
    </row>
    <row r="418" ht="15.75" customHeight="1">
      <c r="O418" s="220"/>
    </row>
    <row r="419" ht="15.75" customHeight="1">
      <c r="O419" s="220"/>
    </row>
    <row r="420" ht="15.75" customHeight="1">
      <c r="O420" s="220"/>
    </row>
    <row r="421" ht="15.75" customHeight="1">
      <c r="O421" s="220"/>
    </row>
    <row r="422" ht="15.75" customHeight="1">
      <c r="O422" s="220"/>
    </row>
    <row r="423" ht="15.75" customHeight="1">
      <c r="O423" s="220"/>
    </row>
    <row r="424" ht="15.75" customHeight="1">
      <c r="O424" s="220"/>
    </row>
    <row r="425" ht="15.75" customHeight="1">
      <c r="O425" s="220"/>
    </row>
    <row r="426" ht="15.75" customHeight="1">
      <c r="O426" s="220"/>
    </row>
    <row r="427" ht="15.75" customHeight="1">
      <c r="O427" s="220"/>
    </row>
    <row r="428" ht="15.75" customHeight="1">
      <c r="O428" s="220"/>
    </row>
    <row r="429" ht="15.75" customHeight="1">
      <c r="O429" s="220"/>
    </row>
    <row r="430" ht="15.75" customHeight="1">
      <c r="O430" s="220"/>
    </row>
    <row r="431" ht="15.75" customHeight="1">
      <c r="O431" s="220"/>
    </row>
    <row r="432" ht="15.75" customHeight="1">
      <c r="O432" s="220"/>
    </row>
    <row r="433" ht="15.75" customHeight="1">
      <c r="O433" s="220"/>
    </row>
    <row r="434" ht="15.75" customHeight="1">
      <c r="O434" s="220"/>
    </row>
    <row r="435" ht="15.75" customHeight="1">
      <c r="O435" s="220"/>
    </row>
    <row r="436" ht="15.75" customHeight="1">
      <c r="O436" s="220"/>
    </row>
    <row r="437" ht="15.75" customHeight="1">
      <c r="O437" s="220"/>
    </row>
    <row r="438" ht="15.75" customHeight="1">
      <c r="O438" s="220"/>
    </row>
    <row r="439" ht="15.75" customHeight="1">
      <c r="O439" s="220"/>
    </row>
    <row r="440" ht="15.75" customHeight="1">
      <c r="O440" s="220"/>
    </row>
    <row r="441" ht="15.75" customHeight="1">
      <c r="O441" s="220"/>
    </row>
    <row r="442" ht="15.75" customHeight="1">
      <c r="O442" s="220"/>
    </row>
    <row r="443" ht="15.75" customHeight="1">
      <c r="O443" s="220"/>
    </row>
    <row r="444" ht="15.75" customHeight="1">
      <c r="O444" s="220"/>
    </row>
    <row r="445" ht="15.75" customHeight="1">
      <c r="O445" s="220"/>
    </row>
    <row r="446" ht="15.75" customHeight="1">
      <c r="O446" s="220"/>
    </row>
    <row r="447" ht="15.75" customHeight="1">
      <c r="O447" s="220"/>
    </row>
    <row r="448" ht="15.75" customHeight="1">
      <c r="O448" s="220"/>
    </row>
    <row r="449" ht="15.75" customHeight="1">
      <c r="O449" s="220"/>
    </row>
    <row r="450" ht="15.75" customHeight="1">
      <c r="O450" s="220"/>
    </row>
    <row r="451" ht="15.75" customHeight="1">
      <c r="O451" s="220"/>
    </row>
    <row r="452" ht="15.75" customHeight="1">
      <c r="O452" s="220"/>
    </row>
    <row r="453" ht="15.75" customHeight="1">
      <c r="O453" s="220"/>
    </row>
    <row r="454" ht="15.75" customHeight="1">
      <c r="O454" s="220"/>
    </row>
    <row r="455" ht="15.75" customHeight="1">
      <c r="O455" s="220"/>
    </row>
    <row r="456" ht="15.75" customHeight="1">
      <c r="O456" s="220"/>
    </row>
    <row r="457" ht="15.75" customHeight="1">
      <c r="O457" s="220"/>
    </row>
    <row r="458" ht="15.75" customHeight="1">
      <c r="O458" s="220"/>
    </row>
    <row r="459" ht="15.75" customHeight="1">
      <c r="O459" s="220"/>
    </row>
    <row r="460" ht="15.75" customHeight="1">
      <c r="O460" s="220"/>
    </row>
    <row r="461" ht="15.75" customHeight="1">
      <c r="O461" s="220"/>
    </row>
    <row r="462" ht="15.75" customHeight="1">
      <c r="O462" s="220"/>
    </row>
    <row r="463" ht="15.75" customHeight="1">
      <c r="O463" s="220"/>
    </row>
    <row r="464" ht="15.75" customHeight="1">
      <c r="O464" s="220"/>
    </row>
    <row r="465" ht="15.75" customHeight="1">
      <c r="O465" s="220"/>
    </row>
    <row r="466" ht="15.75" customHeight="1">
      <c r="O466" s="220"/>
    </row>
    <row r="467" ht="15.75" customHeight="1">
      <c r="O467" s="220"/>
    </row>
    <row r="468" ht="15.75" customHeight="1">
      <c r="O468" s="220"/>
    </row>
    <row r="469" ht="15.75" customHeight="1">
      <c r="O469" s="220"/>
    </row>
    <row r="470" ht="15.75" customHeight="1">
      <c r="O470" s="220"/>
    </row>
    <row r="471" ht="15.75" customHeight="1">
      <c r="O471" s="220"/>
    </row>
    <row r="472" ht="15.75" customHeight="1">
      <c r="O472" s="220"/>
    </row>
    <row r="473" ht="15.75" customHeight="1">
      <c r="O473" s="220"/>
    </row>
    <row r="474" ht="15.75" customHeight="1">
      <c r="O474" s="220"/>
    </row>
    <row r="475" ht="15.75" customHeight="1">
      <c r="O475" s="220"/>
    </row>
    <row r="476" ht="15.75" customHeight="1">
      <c r="O476" s="220"/>
    </row>
    <row r="477" ht="15.75" customHeight="1">
      <c r="O477" s="220"/>
    </row>
    <row r="478" ht="15.75" customHeight="1">
      <c r="O478" s="220"/>
    </row>
    <row r="479" ht="15.75" customHeight="1">
      <c r="O479" s="220"/>
    </row>
    <row r="480" ht="15.75" customHeight="1">
      <c r="O480" s="220"/>
    </row>
    <row r="481" ht="15.75" customHeight="1">
      <c r="O481" s="220"/>
    </row>
    <row r="482" ht="15.75" customHeight="1">
      <c r="O482" s="220"/>
    </row>
    <row r="483" ht="15.75" customHeight="1">
      <c r="O483" s="220"/>
    </row>
    <row r="484" ht="15.75" customHeight="1">
      <c r="O484" s="220"/>
    </row>
    <row r="485" ht="15.75" customHeight="1">
      <c r="O485" s="220"/>
    </row>
    <row r="486" ht="15.75" customHeight="1">
      <c r="O486" s="220"/>
    </row>
    <row r="487" ht="15.75" customHeight="1">
      <c r="O487" s="220"/>
    </row>
    <row r="488" ht="15.75" customHeight="1">
      <c r="O488" s="220"/>
    </row>
    <row r="489" ht="15.75" customHeight="1">
      <c r="O489" s="220"/>
    </row>
    <row r="490" ht="15.75" customHeight="1">
      <c r="O490" s="220"/>
    </row>
    <row r="491" ht="15.75" customHeight="1">
      <c r="O491" s="220"/>
    </row>
    <row r="492" ht="15.75" customHeight="1">
      <c r="O492" s="220"/>
    </row>
    <row r="493" ht="15.75" customHeight="1">
      <c r="O493" s="220"/>
    </row>
    <row r="494" ht="15.75" customHeight="1">
      <c r="O494" s="220"/>
    </row>
    <row r="495" ht="15.75" customHeight="1">
      <c r="O495" s="220"/>
    </row>
    <row r="496" ht="15.75" customHeight="1">
      <c r="O496" s="220"/>
    </row>
    <row r="497" ht="15.75" customHeight="1">
      <c r="O497" s="220"/>
    </row>
    <row r="498" ht="15.75" customHeight="1">
      <c r="O498" s="220"/>
    </row>
    <row r="499" ht="15.75" customHeight="1">
      <c r="O499" s="220"/>
    </row>
    <row r="500" ht="15.75" customHeight="1">
      <c r="O500" s="220"/>
    </row>
    <row r="501" ht="15.75" customHeight="1">
      <c r="O501" s="220"/>
    </row>
    <row r="502" ht="15.75" customHeight="1">
      <c r="O502" s="220"/>
    </row>
    <row r="503" ht="15.75" customHeight="1">
      <c r="O503" s="220"/>
    </row>
    <row r="504" ht="15.75" customHeight="1">
      <c r="O504" s="220"/>
    </row>
    <row r="505" ht="15.75" customHeight="1">
      <c r="O505" s="220"/>
    </row>
    <row r="506" ht="15.75" customHeight="1">
      <c r="O506" s="220"/>
    </row>
    <row r="507" ht="15.75" customHeight="1">
      <c r="O507" s="220"/>
    </row>
    <row r="508" ht="15.75" customHeight="1">
      <c r="O508" s="220"/>
    </row>
    <row r="509" ht="15.75" customHeight="1">
      <c r="O509" s="220"/>
    </row>
    <row r="510" ht="15.75" customHeight="1">
      <c r="O510" s="220"/>
    </row>
    <row r="511" ht="15.75" customHeight="1">
      <c r="O511" s="220"/>
    </row>
    <row r="512" ht="15.75" customHeight="1">
      <c r="O512" s="220"/>
    </row>
    <row r="513" ht="15.75" customHeight="1">
      <c r="O513" s="220"/>
    </row>
    <row r="514" ht="15.75" customHeight="1">
      <c r="O514" s="220"/>
    </row>
    <row r="515" ht="15.75" customHeight="1">
      <c r="O515" s="220"/>
    </row>
    <row r="516" ht="15.75" customHeight="1">
      <c r="O516" s="220"/>
    </row>
    <row r="517" ht="15.75" customHeight="1">
      <c r="O517" s="220"/>
    </row>
    <row r="518" ht="15.75" customHeight="1">
      <c r="O518" s="220"/>
    </row>
    <row r="519" ht="15.75" customHeight="1">
      <c r="O519" s="220"/>
    </row>
    <row r="520" ht="15.75" customHeight="1">
      <c r="O520" s="220"/>
    </row>
    <row r="521" ht="15.75" customHeight="1">
      <c r="O521" s="220"/>
    </row>
    <row r="522" ht="15.75" customHeight="1">
      <c r="O522" s="220"/>
    </row>
    <row r="523" ht="15.75" customHeight="1">
      <c r="O523" s="220"/>
    </row>
    <row r="524" ht="15.75" customHeight="1">
      <c r="O524" s="220"/>
    </row>
    <row r="525" ht="15.75" customHeight="1">
      <c r="O525" s="220"/>
    </row>
    <row r="526" ht="15.75" customHeight="1">
      <c r="O526" s="220"/>
    </row>
    <row r="527" ht="15.75" customHeight="1">
      <c r="O527" s="220"/>
    </row>
    <row r="528" ht="15.75" customHeight="1">
      <c r="O528" s="220"/>
    </row>
    <row r="529" ht="15.75" customHeight="1">
      <c r="O529" s="220"/>
    </row>
    <row r="530" ht="15.75" customHeight="1">
      <c r="O530" s="220"/>
    </row>
    <row r="531" ht="15.75" customHeight="1">
      <c r="O531" s="220"/>
    </row>
    <row r="532" ht="15.75" customHeight="1">
      <c r="O532" s="220"/>
    </row>
    <row r="533" ht="15.75" customHeight="1">
      <c r="O533" s="220"/>
    </row>
    <row r="534" ht="15.75" customHeight="1">
      <c r="O534" s="220"/>
    </row>
    <row r="535" ht="15.75" customHeight="1">
      <c r="O535" s="220"/>
    </row>
    <row r="536" ht="15.75" customHeight="1">
      <c r="O536" s="220"/>
    </row>
    <row r="537" ht="15.75" customHeight="1">
      <c r="O537" s="220"/>
    </row>
    <row r="538" ht="15.75" customHeight="1">
      <c r="O538" s="220"/>
    </row>
    <row r="539" ht="15.75" customHeight="1">
      <c r="O539" s="220"/>
    </row>
    <row r="540" ht="15.75" customHeight="1">
      <c r="O540" s="220"/>
    </row>
    <row r="541" ht="15.75" customHeight="1">
      <c r="O541" s="220"/>
    </row>
    <row r="542" ht="15.75" customHeight="1">
      <c r="O542" s="220"/>
    </row>
    <row r="543" ht="15.75" customHeight="1">
      <c r="O543" s="220"/>
    </row>
    <row r="544" ht="15.75" customHeight="1">
      <c r="O544" s="220"/>
    </row>
    <row r="545" ht="15.75" customHeight="1">
      <c r="O545" s="220"/>
    </row>
    <row r="546" ht="15.75" customHeight="1">
      <c r="O546" s="220"/>
    </row>
    <row r="547" ht="15.75" customHeight="1">
      <c r="O547" s="220"/>
    </row>
    <row r="548" ht="15.75" customHeight="1">
      <c r="O548" s="220"/>
    </row>
    <row r="549" ht="15.75" customHeight="1">
      <c r="O549" s="220"/>
    </row>
    <row r="550" ht="15.75" customHeight="1">
      <c r="O550" s="220"/>
    </row>
    <row r="551" ht="15.75" customHeight="1">
      <c r="O551" s="220"/>
    </row>
    <row r="552" ht="15.75" customHeight="1">
      <c r="O552" s="220"/>
    </row>
    <row r="553" ht="15.75" customHeight="1">
      <c r="O553" s="220"/>
    </row>
    <row r="554" ht="15.75" customHeight="1">
      <c r="O554" s="220"/>
    </row>
    <row r="555" ht="15.75" customHeight="1">
      <c r="O555" s="220"/>
    </row>
    <row r="556" ht="15.75" customHeight="1">
      <c r="O556" s="220"/>
    </row>
    <row r="557" ht="15.75" customHeight="1">
      <c r="O557" s="220"/>
    </row>
    <row r="558" ht="15.75" customHeight="1">
      <c r="O558" s="220"/>
    </row>
    <row r="559" ht="15.75" customHeight="1">
      <c r="O559" s="220"/>
    </row>
    <row r="560" ht="15.75" customHeight="1">
      <c r="O560" s="220"/>
    </row>
    <row r="561" ht="15.75" customHeight="1">
      <c r="O561" s="220"/>
    </row>
    <row r="562" ht="15.75" customHeight="1">
      <c r="O562" s="220"/>
    </row>
    <row r="563" ht="15.75" customHeight="1">
      <c r="O563" s="220"/>
    </row>
    <row r="564" ht="15.75" customHeight="1">
      <c r="O564" s="220"/>
    </row>
    <row r="565" ht="15.75" customHeight="1">
      <c r="O565" s="220"/>
    </row>
    <row r="566" ht="15.75" customHeight="1">
      <c r="O566" s="220"/>
    </row>
    <row r="567" ht="15.75" customHeight="1">
      <c r="O567" s="220"/>
    </row>
    <row r="568" ht="15.75" customHeight="1">
      <c r="O568" s="220"/>
    </row>
    <row r="569" ht="15.75" customHeight="1">
      <c r="O569" s="220"/>
    </row>
    <row r="570" ht="15.75" customHeight="1">
      <c r="O570" s="220"/>
    </row>
    <row r="571" ht="15.75" customHeight="1">
      <c r="O571" s="220"/>
    </row>
    <row r="572" ht="15.75" customHeight="1">
      <c r="O572" s="220"/>
    </row>
    <row r="573" ht="15.75" customHeight="1">
      <c r="O573" s="220"/>
    </row>
    <row r="574" ht="15.75" customHeight="1">
      <c r="O574" s="220"/>
    </row>
    <row r="575" ht="15.75" customHeight="1">
      <c r="O575" s="220"/>
    </row>
    <row r="576" ht="15.75" customHeight="1">
      <c r="O576" s="220"/>
    </row>
    <row r="577" ht="15.75" customHeight="1">
      <c r="O577" s="220"/>
    </row>
    <row r="578" ht="15.75" customHeight="1">
      <c r="O578" s="220"/>
    </row>
    <row r="579" ht="15.75" customHeight="1">
      <c r="O579" s="220"/>
    </row>
    <row r="580" ht="15.75" customHeight="1">
      <c r="O580" s="220"/>
    </row>
    <row r="581" ht="15.75" customHeight="1">
      <c r="O581" s="220"/>
    </row>
    <row r="582" ht="15.75" customHeight="1">
      <c r="O582" s="220"/>
    </row>
    <row r="583" ht="15.75" customHeight="1">
      <c r="O583" s="220"/>
    </row>
    <row r="584" ht="15.75" customHeight="1">
      <c r="O584" s="220"/>
    </row>
    <row r="585" ht="15.75" customHeight="1">
      <c r="O585" s="220"/>
    </row>
    <row r="586" ht="15.75" customHeight="1">
      <c r="O586" s="220"/>
    </row>
    <row r="587" ht="15.75" customHeight="1">
      <c r="O587" s="220"/>
    </row>
    <row r="588" ht="15.75" customHeight="1">
      <c r="O588" s="220"/>
    </row>
    <row r="589" ht="15.75" customHeight="1">
      <c r="O589" s="220"/>
    </row>
    <row r="590" ht="15.75" customHeight="1">
      <c r="O590" s="220"/>
    </row>
    <row r="591" ht="15.75" customHeight="1">
      <c r="O591" s="220"/>
    </row>
    <row r="592" ht="15.75" customHeight="1">
      <c r="O592" s="220"/>
    </row>
    <row r="593" ht="15.75" customHeight="1">
      <c r="O593" s="220"/>
    </row>
    <row r="594" ht="15.75" customHeight="1">
      <c r="O594" s="220"/>
    </row>
    <row r="595" ht="15.75" customHeight="1">
      <c r="O595" s="220"/>
    </row>
    <row r="596" ht="15.75" customHeight="1">
      <c r="O596" s="220"/>
    </row>
    <row r="597" ht="15.75" customHeight="1">
      <c r="O597" s="220"/>
    </row>
    <row r="598" ht="15.75" customHeight="1">
      <c r="O598" s="220"/>
    </row>
    <row r="599" ht="15.75" customHeight="1">
      <c r="O599" s="220"/>
    </row>
    <row r="600" ht="15.75" customHeight="1">
      <c r="O600" s="220"/>
    </row>
    <row r="601" ht="15.75" customHeight="1">
      <c r="O601" s="220"/>
    </row>
    <row r="602" ht="15.75" customHeight="1">
      <c r="O602" s="220"/>
    </row>
    <row r="603" ht="15.75" customHeight="1">
      <c r="O603" s="220"/>
    </row>
    <row r="604" ht="15.75" customHeight="1">
      <c r="O604" s="220"/>
    </row>
    <row r="605" ht="15.75" customHeight="1">
      <c r="O605" s="220"/>
    </row>
    <row r="606" ht="15.75" customHeight="1">
      <c r="O606" s="220"/>
    </row>
    <row r="607" ht="15.75" customHeight="1">
      <c r="O607" s="220"/>
    </row>
    <row r="608" ht="15.75" customHeight="1">
      <c r="O608" s="220"/>
    </row>
    <row r="609" ht="15.75" customHeight="1">
      <c r="O609" s="220"/>
    </row>
    <row r="610" ht="15.75" customHeight="1">
      <c r="O610" s="220"/>
    </row>
    <row r="611" ht="15.75" customHeight="1">
      <c r="O611" s="220"/>
    </row>
    <row r="612" ht="15.75" customHeight="1">
      <c r="O612" s="220"/>
    </row>
    <row r="613" ht="15.75" customHeight="1">
      <c r="O613" s="220"/>
    </row>
    <row r="614" ht="15.75" customHeight="1">
      <c r="O614" s="220"/>
    </row>
    <row r="615" ht="15.75" customHeight="1">
      <c r="O615" s="220"/>
    </row>
    <row r="616" ht="15.75" customHeight="1">
      <c r="O616" s="220"/>
    </row>
    <row r="617" ht="15.75" customHeight="1">
      <c r="O617" s="220"/>
    </row>
    <row r="618" ht="15.75" customHeight="1">
      <c r="O618" s="220"/>
    </row>
    <row r="619" ht="15.75" customHeight="1">
      <c r="O619" s="220"/>
    </row>
    <row r="620" ht="15.75" customHeight="1">
      <c r="O620" s="220"/>
    </row>
    <row r="621" ht="15.75" customHeight="1">
      <c r="O621" s="220"/>
    </row>
    <row r="622" ht="15.75" customHeight="1">
      <c r="O622" s="220"/>
    </row>
    <row r="623" ht="15.75" customHeight="1">
      <c r="O623" s="220"/>
    </row>
    <row r="624" ht="15.75" customHeight="1">
      <c r="O624" s="220"/>
    </row>
    <row r="625" ht="15.75" customHeight="1">
      <c r="O625" s="220"/>
    </row>
    <row r="626" ht="15.75" customHeight="1">
      <c r="O626" s="220"/>
    </row>
    <row r="627" ht="15.75" customHeight="1">
      <c r="O627" s="220"/>
    </row>
    <row r="628" ht="15.75" customHeight="1">
      <c r="O628" s="220"/>
    </row>
    <row r="629" ht="15.75" customHeight="1">
      <c r="O629" s="220"/>
    </row>
    <row r="630" ht="15.75" customHeight="1">
      <c r="O630" s="220"/>
    </row>
    <row r="631" ht="15.75" customHeight="1">
      <c r="O631" s="220"/>
    </row>
    <row r="632" ht="15.75" customHeight="1">
      <c r="O632" s="220"/>
    </row>
    <row r="633" ht="15.75" customHeight="1">
      <c r="O633" s="220"/>
    </row>
    <row r="634" ht="15.75" customHeight="1">
      <c r="O634" s="220"/>
    </row>
    <row r="635" ht="15.75" customHeight="1">
      <c r="O635" s="220"/>
    </row>
    <row r="636" ht="15.75" customHeight="1">
      <c r="O636" s="220"/>
    </row>
    <row r="637" ht="15.75" customHeight="1">
      <c r="O637" s="220"/>
    </row>
    <row r="638" ht="15.75" customHeight="1">
      <c r="O638" s="220"/>
    </row>
    <row r="639" ht="15.75" customHeight="1">
      <c r="O639" s="220"/>
    </row>
    <row r="640" ht="15.75" customHeight="1">
      <c r="O640" s="220"/>
    </row>
    <row r="641" ht="15.75" customHeight="1">
      <c r="O641" s="220"/>
    </row>
    <row r="642" ht="15.75" customHeight="1">
      <c r="O642" s="220"/>
    </row>
    <row r="643" ht="15.75" customHeight="1">
      <c r="O643" s="220"/>
    </row>
    <row r="644" ht="15.75" customHeight="1">
      <c r="O644" s="220"/>
    </row>
    <row r="645" ht="15.75" customHeight="1">
      <c r="O645" s="220"/>
    </row>
    <row r="646" ht="15.75" customHeight="1">
      <c r="O646" s="220"/>
    </row>
    <row r="647" ht="15.75" customHeight="1">
      <c r="O647" s="220"/>
    </row>
    <row r="648" ht="15.75" customHeight="1">
      <c r="O648" s="220"/>
    </row>
    <row r="649" ht="15.75" customHeight="1">
      <c r="O649" s="220"/>
    </row>
    <row r="650" ht="15.75" customHeight="1">
      <c r="O650" s="220"/>
    </row>
    <row r="651" ht="15.75" customHeight="1">
      <c r="O651" s="220"/>
    </row>
    <row r="652" ht="15.75" customHeight="1">
      <c r="O652" s="220"/>
    </row>
    <row r="653" ht="15.75" customHeight="1">
      <c r="O653" s="220"/>
    </row>
    <row r="654" ht="15.75" customHeight="1">
      <c r="O654" s="220"/>
    </row>
    <row r="655" ht="15.75" customHeight="1">
      <c r="O655" s="220"/>
    </row>
    <row r="656" ht="15.75" customHeight="1">
      <c r="O656" s="220"/>
    </row>
    <row r="657" ht="15.75" customHeight="1">
      <c r="O657" s="220"/>
    </row>
    <row r="658" ht="15.75" customHeight="1">
      <c r="O658" s="220"/>
    </row>
    <row r="659" ht="15.75" customHeight="1">
      <c r="O659" s="220"/>
    </row>
    <row r="660" ht="15.75" customHeight="1">
      <c r="O660" s="220"/>
    </row>
    <row r="661" ht="15.75" customHeight="1">
      <c r="O661" s="220"/>
    </row>
    <row r="662" ht="15.75" customHeight="1">
      <c r="O662" s="220"/>
    </row>
    <row r="663" ht="15.75" customHeight="1">
      <c r="O663" s="220"/>
    </row>
    <row r="664" ht="15.75" customHeight="1">
      <c r="O664" s="220"/>
    </row>
    <row r="665" ht="15.75" customHeight="1">
      <c r="O665" s="220"/>
    </row>
    <row r="666" ht="15.75" customHeight="1">
      <c r="O666" s="220"/>
    </row>
    <row r="667" ht="15.75" customHeight="1">
      <c r="O667" s="220"/>
    </row>
    <row r="668" ht="15.75" customHeight="1">
      <c r="O668" s="220"/>
    </row>
    <row r="669" ht="15.75" customHeight="1">
      <c r="O669" s="220"/>
    </row>
    <row r="670" ht="15.75" customHeight="1">
      <c r="O670" s="220"/>
    </row>
    <row r="671" ht="15.75" customHeight="1">
      <c r="O671" s="220"/>
    </row>
    <row r="672" ht="15.75" customHeight="1">
      <c r="O672" s="220"/>
    </row>
    <row r="673" ht="15.75" customHeight="1">
      <c r="O673" s="220"/>
    </row>
    <row r="674" ht="15.75" customHeight="1">
      <c r="O674" s="220"/>
    </row>
    <row r="675" ht="15.75" customHeight="1">
      <c r="O675" s="220"/>
    </row>
    <row r="676" ht="15.75" customHeight="1">
      <c r="O676" s="220"/>
    </row>
    <row r="677" ht="15.75" customHeight="1">
      <c r="O677" s="220"/>
    </row>
    <row r="678" ht="15.75" customHeight="1">
      <c r="O678" s="220"/>
    </row>
    <row r="679" ht="15.75" customHeight="1">
      <c r="O679" s="220"/>
    </row>
    <row r="680" ht="15.75" customHeight="1">
      <c r="O680" s="220"/>
    </row>
    <row r="681" ht="15.75" customHeight="1">
      <c r="O681" s="220"/>
    </row>
    <row r="682" ht="15.75" customHeight="1">
      <c r="O682" s="220"/>
    </row>
    <row r="683" ht="15.75" customHeight="1">
      <c r="O683" s="220"/>
    </row>
    <row r="684" ht="15.75" customHeight="1">
      <c r="O684" s="220"/>
    </row>
    <row r="685" ht="15.75" customHeight="1">
      <c r="O685" s="220"/>
    </row>
    <row r="686" ht="15.75" customHeight="1">
      <c r="O686" s="220"/>
    </row>
    <row r="687" ht="15.75" customHeight="1">
      <c r="O687" s="220"/>
    </row>
    <row r="688" ht="15.75" customHeight="1">
      <c r="O688" s="220"/>
    </row>
    <row r="689" ht="15.75" customHeight="1">
      <c r="O689" s="220"/>
    </row>
    <row r="690" ht="15.75" customHeight="1">
      <c r="O690" s="220"/>
    </row>
    <row r="691" ht="15.75" customHeight="1">
      <c r="O691" s="220"/>
    </row>
    <row r="692" ht="15.75" customHeight="1">
      <c r="O692" s="220"/>
    </row>
    <row r="693" ht="15.75" customHeight="1">
      <c r="O693" s="220"/>
    </row>
    <row r="694" ht="15.75" customHeight="1">
      <c r="O694" s="220"/>
    </row>
    <row r="695" ht="15.75" customHeight="1">
      <c r="O695" s="220"/>
    </row>
    <row r="696" ht="15.75" customHeight="1">
      <c r="O696" s="220"/>
    </row>
    <row r="697" ht="15.75" customHeight="1">
      <c r="O697" s="220"/>
    </row>
    <row r="698" ht="15.75" customHeight="1">
      <c r="O698" s="220"/>
    </row>
    <row r="699" ht="15.75" customHeight="1">
      <c r="O699" s="220"/>
    </row>
    <row r="700" ht="15.75" customHeight="1">
      <c r="O700" s="220"/>
    </row>
    <row r="701" ht="15.75" customHeight="1">
      <c r="O701" s="220"/>
    </row>
    <row r="702" ht="15.75" customHeight="1">
      <c r="O702" s="220"/>
    </row>
    <row r="703" ht="15.75" customHeight="1">
      <c r="O703" s="220"/>
    </row>
    <row r="704" ht="15.75" customHeight="1">
      <c r="O704" s="220"/>
    </row>
    <row r="705" ht="15.75" customHeight="1">
      <c r="O705" s="220"/>
    </row>
    <row r="706" ht="15.75" customHeight="1">
      <c r="O706" s="220"/>
    </row>
    <row r="707" ht="15.75" customHeight="1">
      <c r="O707" s="220"/>
    </row>
    <row r="708" ht="15.75" customHeight="1">
      <c r="O708" s="220"/>
    </row>
    <row r="709" ht="15.75" customHeight="1">
      <c r="O709" s="220"/>
    </row>
    <row r="710" ht="15.75" customHeight="1">
      <c r="O710" s="220"/>
    </row>
    <row r="711" ht="15.75" customHeight="1">
      <c r="O711" s="220"/>
    </row>
    <row r="712" ht="15.75" customHeight="1">
      <c r="O712" s="220"/>
    </row>
    <row r="713" ht="15.75" customHeight="1">
      <c r="O713" s="220"/>
    </row>
    <row r="714" ht="15.75" customHeight="1">
      <c r="O714" s="220"/>
    </row>
    <row r="715" ht="15.75" customHeight="1">
      <c r="O715" s="220"/>
    </row>
    <row r="716" ht="15.75" customHeight="1">
      <c r="O716" s="220"/>
    </row>
    <row r="717" ht="15.75" customHeight="1">
      <c r="O717" s="220"/>
    </row>
    <row r="718" ht="15.75" customHeight="1">
      <c r="O718" s="220"/>
    </row>
    <row r="719" ht="15.75" customHeight="1">
      <c r="O719" s="220"/>
    </row>
    <row r="720" ht="15.75" customHeight="1">
      <c r="O720" s="220"/>
    </row>
    <row r="721" ht="15.75" customHeight="1">
      <c r="O721" s="220"/>
    </row>
    <row r="722" ht="15.75" customHeight="1">
      <c r="O722" s="220"/>
    </row>
    <row r="723" ht="15.75" customHeight="1">
      <c r="O723" s="220"/>
    </row>
    <row r="724" ht="15.75" customHeight="1">
      <c r="O724" s="220"/>
    </row>
    <row r="725" ht="15.75" customHeight="1">
      <c r="O725" s="220"/>
    </row>
    <row r="726" ht="15.75" customHeight="1">
      <c r="O726" s="220"/>
    </row>
    <row r="727" ht="15.75" customHeight="1">
      <c r="O727" s="220"/>
    </row>
    <row r="728" ht="15.75" customHeight="1">
      <c r="O728" s="220"/>
    </row>
    <row r="729" ht="15.75" customHeight="1">
      <c r="O729" s="220"/>
    </row>
    <row r="730" ht="15.75" customHeight="1">
      <c r="O730" s="220"/>
    </row>
    <row r="731" ht="15.75" customHeight="1">
      <c r="O731" s="220"/>
    </row>
    <row r="732" ht="15.75" customHeight="1">
      <c r="O732" s="220"/>
    </row>
    <row r="733" ht="15.75" customHeight="1">
      <c r="O733" s="220"/>
    </row>
    <row r="734" ht="15.75" customHeight="1">
      <c r="O734" s="220"/>
    </row>
    <row r="735" ht="15.75" customHeight="1">
      <c r="O735" s="220"/>
    </row>
    <row r="736" ht="15.75" customHeight="1">
      <c r="O736" s="220"/>
    </row>
    <row r="737" ht="15.75" customHeight="1">
      <c r="O737" s="220"/>
    </row>
    <row r="738" ht="15.75" customHeight="1">
      <c r="O738" s="220"/>
    </row>
    <row r="739" ht="15.75" customHeight="1">
      <c r="O739" s="220"/>
    </row>
    <row r="740" ht="15.75" customHeight="1">
      <c r="O740" s="220"/>
    </row>
    <row r="741" ht="15.75" customHeight="1">
      <c r="O741" s="220"/>
    </row>
    <row r="742" ht="15.75" customHeight="1">
      <c r="O742" s="220"/>
    </row>
    <row r="743" ht="15.75" customHeight="1">
      <c r="O743" s="220"/>
    </row>
    <row r="744" ht="15.75" customHeight="1">
      <c r="O744" s="220"/>
    </row>
    <row r="745" ht="15.75" customHeight="1">
      <c r="O745" s="220"/>
    </row>
    <row r="746" ht="15.75" customHeight="1">
      <c r="O746" s="220"/>
    </row>
    <row r="747" ht="15.75" customHeight="1">
      <c r="O747" s="220"/>
    </row>
    <row r="748" ht="15.75" customHeight="1">
      <c r="O748" s="220"/>
    </row>
    <row r="749" ht="15.75" customHeight="1">
      <c r="O749" s="220"/>
    </row>
    <row r="750" ht="15.75" customHeight="1">
      <c r="O750" s="220"/>
    </row>
    <row r="751" ht="15.75" customHeight="1">
      <c r="O751" s="220"/>
    </row>
    <row r="752" ht="15.75" customHeight="1">
      <c r="O752" s="220"/>
    </row>
    <row r="753" ht="15.75" customHeight="1">
      <c r="O753" s="220"/>
    </row>
    <row r="754" ht="15.75" customHeight="1">
      <c r="O754" s="220"/>
    </row>
    <row r="755" ht="15.75" customHeight="1">
      <c r="O755" s="220"/>
    </row>
    <row r="756" ht="15.75" customHeight="1">
      <c r="O756" s="220"/>
    </row>
    <row r="757" ht="15.75" customHeight="1">
      <c r="O757" s="220"/>
    </row>
    <row r="758" ht="15.75" customHeight="1">
      <c r="O758" s="220"/>
    </row>
    <row r="759" ht="15.75" customHeight="1">
      <c r="O759" s="220"/>
    </row>
    <row r="760" ht="15.75" customHeight="1">
      <c r="O760" s="220"/>
    </row>
    <row r="761" ht="15.75" customHeight="1">
      <c r="O761" s="220"/>
    </row>
    <row r="762" ht="15.75" customHeight="1">
      <c r="O762" s="220"/>
    </row>
    <row r="763" ht="15.75" customHeight="1">
      <c r="O763" s="220"/>
    </row>
    <row r="764" ht="15.75" customHeight="1">
      <c r="O764" s="220"/>
    </row>
    <row r="765" ht="15.75" customHeight="1">
      <c r="O765" s="220"/>
    </row>
    <row r="766" ht="15.75" customHeight="1">
      <c r="O766" s="220"/>
    </row>
    <row r="767" ht="15.75" customHeight="1">
      <c r="O767" s="220"/>
    </row>
    <row r="768" ht="15.75" customHeight="1">
      <c r="O768" s="220"/>
    </row>
    <row r="769" ht="15.75" customHeight="1">
      <c r="O769" s="220"/>
    </row>
    <row r="770" ht="15.75" customHeight="1">
      <c r="O770" s="220"/>
    </row>
    <row r="771" ht="15.75" customHeight="1">
      <c r="O771" s="220"/>
    </row>
    <row r="772" ht="15.75" customHeight="1">
      <c r="O772" s="220"/>
    </row>
    <row r="773" ht="15.75" customHeight="1">
      <c r="O773" s="220"/>
    </row>
    <row r="774" ht="15.75" customHeight="1">
      <c r="O774" s="220"/>
    </row>
    <row r="775" ht="15.75" customHeight="1">
      <c r="O775" s="220"/>
    </row>
    <row r="776" ht="15.75" customHeight="1">
      <c r="O776" s="220"/>
    </row>
    <row r="777" ht="15.75" customHeight="1">
      <c r="O777" s="220"/>
    </row>
    <row r="778" ht="15.75" customHeight="1">
      <c r="O778" s="220"/>
    </row>
    <row r="779" ht="15.75" customHeight="1">
      <c r="O779" s="220"/>
    </row>
    <row r="780" ht="15.75" customHeight="1">
      <c r="O780" s="220"/>
    </row>
    <row r="781" ht="15.75" customHeight="1">
      <c r="O781" s="220"/>
    </row>
    <row r="782" ht="15.75" customHeight="1">
      <c r="O782" s="220"/>
    </row>
    <row r="783" ht="15.75" customHeight="1">
      <c r="O783" s="220"/>
    </row>
    <row r="784" ht="15.75" customHeight="1">
      <c r="O784" s="220"/>
    </row>
    <row r="785" ht="15.75" customHeight="1">
      <c r="O785" s="220"/>
    </row>
    <row r="786" ht="15.75" customHeight="1">
      <c r="O786" s="220"/>
    </row>
    <row r="787" ht="15.75" customHeight="1">
      <c r="O787" s="220"/>
    </row>
    <row r="788" ht="15.75" customHeight="1">
      <c r="O788" s="220"/>
    </row>
    <row r="789" ht="15.75" customHeight="1">
      <c r="O789" s="220"/>
    </row>
    <row r="790" ht="15.75" customHeight="1">
      <c r="O790" s="220"/>
    </row>
    <row r="791" ht="15.75" customHeight="1">
      <c r="O791" s="220"/>
    </row>
    <row r="792" ht="15.75" customHeight="1">
      <c r="O792" s="220"/>
    </row>
    <row r="793" ht="15.75" customHeight="1">
      <c r="O793" s="220"/>
    </row>
    <row r="794" ht="15.75" customHeight="1">
      <c r="O794" s="220"/>
    </row>
    <row r="795" ht="15.75" customHeight="1">
      <c r="O795" s="220"/>
    </row>
    <row r="796" ht="15.75" customHeight="1">
      <c r="O796" s="220"/>
    </row>
    <row r="797" ht="15.75" customHeight="1">
      <c r="O797" s="220"/>
    </row>
    <row r="798" ht="15.75" customHeight="1">
      <c r="O798" s="220"/>
    </row>
    <row r="799" ht="15.75" customHeight="1">
      <c r="O799" s="220"/>
    </row>
    <row r="800" ht="15.75" customHeight="1">
      <c r="O800" s="220"/>
    </row>
    <row r="801" ht="15.75" customHeight="1">
      <c r="O801" s="220"/>
    </row>
    <row r="802" ht="15.75" customHeight="1">
      <c r="O802" s="220"/>
    </row>
    <row r="803" ht="15.75" customHeight="1">
      <c r="O803" s="220"/>
    </row>
    <row r="804" ht="15.75" customHeight="1">
      <c r="O804" s="220"/>
    </row>
    <row r="805" ht="15.75" customHeight="1">
      <c r="O805" s="220"/>
    </row>
    <row r="806" ht="15.75" customHeight="1">
      <c r="O806" s="220"/>
    </row>
    <row r="807" ht="15.75" customHeight="1">
      <c r="O807" s="220"/>
    </row>
    <row r="808" ht="15.75" customHeight="1">
      <c r="O808" s="220"/>
    </row>
    <row r="809" ht="15.75" customHeight="1">
      <c r="O809" s="220"/>
    </row>
    <row r="810" ht="15.75" customHeight="1">
      <c r="O810" s="220"/>
    </row>
    <row r="811" ht="15.75" customHeight="1">
      <c r="O811" s="220"/>
    </row>
    <row r="812" ht="15.75" customHeight="1">
      <c r="O812" s="220"/>
    </row>
    <row r="813" ht="15.75" customHeight="1">
      <c r="O813" s="220"/>
    </row>
    <row r="814" ht="15.75" customHeight="1">
      <c r="O814" s="220"/>
    </row>
    <row r="815" ht="15.75" customHeight="1">
      <c r="O815" s="220"/>
    </row>
    <row r="816" ht="15.75" customHeight="1">
      <c r="O816" s="220"/>
    </row>
    <row r="817" ht="15.75" customHeight="1">
      <c r="O817" s="220"/>
    </row>
    <row r="818" ht="15.75" customHeight="1">
      <c r="O818" s="220"/>
    </row>
    <row r="819" ht="15.75" customHeight="1">
      <c r="O819" s="220"/>
    </row>
    <row r="820" ht="15.75" customHeight="1">
      <c r="O820" s="220"/>
    </row>
    <row r="821" ht="15.75" customHeight="1">
      <c r="O821" s="220"/>
    </row>
    <row r="822" ht="15.75" customHeight="1">
      <c r="O822" s="220"/>
    </row>
    <row r="823" ht="15.75" customHeight="1">
      <c r="O823" s="220"/>
    </row>
    <row r="824" ht="15.75" customHeight="1">
      <c r="O824" s="220"/>
    </row>
    <row r="825" ht="15.75" customHeight="1">
      <c r="O825" s="220"/>
    </row>
    <row r="826" ht="15.75" customHeight="1">
      <c r="O826" s="220"/>
    </row>
    <row r="827" ht="15.75" customHeight="1">
      <c r="O827" s="220"/>
    </row>
    <row r="828" ht="15.75" customHeight="1">
      <c r="O828" s="220"/>
    </row>
    <row r="829" ht="15.75" customHeight="1">
      <c r="O829" s="220"/>
    </row>
    <row r="830" ht="15.75" customHeight="1">
      <c r="O830" s="220"/>
    </row>
    <row r="831" ht="15.75" customHeight="1">
      <c r="O831" s="220"/>
    </row>
    <row r="832" ht="15.75" customHeight="1">
      <c r="O832" s="220"/>
    </row>
    <row r="833" ht="15.75" customHeight="1">
      <c r="O833" s="220"/>
    </row>
    <row r="834" ht="15.75" customHeight="1">
      <c r="O834" s="220"/>
    </row>
    <row r="835" ht="15.75" customHeight="1">
      <c r="O835" s="220"/>
    </row>
    <row r="836" ht="15.75" customHeight="1">
      <c r="O836" s="220"/>
    </row>
    <row r="837" ht="15.75" customHeight="1">
      <c r="O837" s="220"/>
    </row>
    <row r="838" ht="15.75" customHeight="1">
      <c r="O838" s="220"/>
    </row>
    <row r="839" ht="15.75" customHeight="1">
      <c r="O839" s="220"/>
    </row>
    <row r="840" ht="15.75" customHeight="1">
      <c r="O840" s="220"/>
    </row>
    <row r="841" ht="15.75" customHeight="1">
      <c r="O841" s="220"/>
    </row>
    <row r="842" ht="15.75" customHeight="1">
      <c r="O842" s="220"/>
    </row>
    <row r="843" ht="15.75" customHeight="1">
      <c r="O843" s="220"/>
    </row>
    <row r="844" ht="15.75" customHeight="1">
      <c r="O844" s="220"/>
    </row>
    <row r="845" ht="15.75" customHeight="1">
      <c r="O845" s="220"/>
    </row>
    <row r="846" ht="15.75" customHeight="1">
      <c r="O846" s="220"/>
    </row>
    <row r="847" ht="15.75" customHeight="1">
      <c r="O847" s="220"/>
    </row>
    <row r="848" ht="15.75" customHeight="1">
      <c r="O848" s="220"/>
    </row>
    <row r="849" ht="15.75" customHeight="1">
      <c r="O849" s="220"/>
    </row>
    <row r="850" ht="15.75" customHeight="1">
      <c r="O850" s="220"/>
    </row>
    <row r="851" ht="15.75" customHeight="1">
      <c r="O851" s="220"/>
    </row>
    <row r="852" ht="15.75" customHeight="1">
      <c r="O852" s="220"/>
    </row>
    <row r="853" ht="15.75" customHeight="1">
      <c r="O853" s="220"/>
    </row>
    <row r="854" ht="15.75" customHeight="1">
      <c r="O854" s="220"/>
    </row>
    <row r="855" ht="15.75" customHeight="1">
      <c r="O855" s="220"/>
    </row>
    <row r="856" ht="15.75" customHeight="1">
      <c r="O856" s="220"/>
    </row>
    <row r="857" ht="15.75" customHeight="1">
      <c r="O857" s="220"/>
    </row>
    <row r="858" ht="15.75" customHeight="1">
      <c r="O858" s="220"/>
    </row>
    <row r="859" ht="15.75" customHeight="1">
      <c r="O859" s="220"/>
    </row>
    <row r="860" ht="15.75" customHeight="1">
      <c r="O860" s="220"/>
    </row>
    <row r="861" ht="15.75" customHeight="1">
      <c r="O861" s="220"/>
    </row>
    <row r="862" ht="15.75" customHeight="1">
      <c r="O862" s="220"/>
    </row>
    <row r="863" ht="15.75" customHeight="1">
      <c r="O863" s="220"/>
    </row>
    <row r="864" ht="15.75" customHeight="1">
      <c r="O864" s="220"/>
    </row>
    <row r="865" ht="15.75" customHeight="1">
      <c r="O865" s="220"/>
    </row>
    <row r="866" ht="15.75" customHeight="1">
      <c r="O866" s="220"/>
    </row>
    <row r="867" ht="15.75" customHeight="1">
      <c r="O867" s="220"/>
    </row>
    <row r="868" ht="15.75" customHeight="1">
      <c r="O868" s="220"/>
    </row>
    <row r="869" ht="15.75" customHeight="1">
      <c r="O869" s="220"/>
    </row>
    <row r="870" ht="15.75" customHeight="1">
      <c r="O870" s="220"/>
    </row>
    <row r="871" ht="15.75" customHeight="1">
      <c r="O871" s="220"/>
    </row>
    <row r="872" ht="15.75" customHeight="1">
      <c r="O872" s="220"/>
    </row>
    <row r="873" ht="15.75" customHeight="1">
      <c r="O873" s="220"/>
    </row>
    <row r="874" ht="15.75" customHeight="1">
      <c r="O874" s="220"/>
    </row>
    <row r="875" ht="15.75" customHeight="1">
      <c r="O875" s="220"/>
    </row>
    <row r="876" ht="15.75" customHeight="1">
      <c r="O876" s="220"/>
    </row>
    <row r="877" ht="15.75" customHeight="1">
      <c r="O877" s="220"/>
    </row>
    <row r="878" ht="15.75" customHeight="1">
      <c r="O878" s="220"/>
    </row>
    <row r="879" ht="15.75" customHeight="1">
      <c r="O879" s="220"/>
    </row>
    <row r="880" ht="15.75" customHeight="1">
      <c r="O880" s="220"/>
    </row>
    <row r="881" ht="15.75" customHeight="1">
      <c r="O881" s="220"/>
    </row>
    <row r="882" ht="15.75" customHeight="1">
      <c r="O882" s="220"/>
    </row>
    <row r="883" ht="15.75" customHeight="1">
      <c r="O883" s="220"/>
    </row>
    <row r="884" ht="15.75" customHeight="1">
      <c r="O884" s="220"/>
    </row>
    <row r="885" ht="15.75" customHeight="1">
      <c r="O885" s="220"/>
    </row>
    <row r="886" ht="15.75" customHeight="1">
      <c r="O886" s="220"/>
    </row>
    <row r="887" ht="15.75" customHeight="1">
      <c r="O887" s="220"/>
    </row>
    <row r="888" ht="15.75" customHeight="1">
      <c r="O888" s="220"/>
    </row>
    <row r="889" ht="15.75" customHeight="1">
      <c r="O889" s="220"/>
    </row>
    <row r="890" ht="15.75" customHeight="1">
      <c r="O890" s="220"/>
    </row>
    <row r="891" ht="15.75" customHeight="1">
      <c r="O891" s="220"/>
    </row>
    <row r="892" ht="15.75" customHeight="1">
      <c r="O892" s="220"/>
    </row>
    <row r="893" ht="15.75" customHeight="1">
      <c r="O893" s="220"/>
    </row>
    <row r="894" ht="15.75" customHeight="1">
      <c r="O894" s="220"/>
    </row>
    <row r="895" ht="15.75" customHeight="1">
      <c r="O895" s="220"/>
    </row>
    <row r="896" ht="15.75" customHeight="1">
      <c r="O896" s="220"/>
    </row>
    <row r="897" ht="15.75" customHeight="1">
      <c r="O897" s="220"/>
    </row>
    <row r="898" ht="15.75" customHeight="1">
      <c r="O898" s="220"/>
    </row>
    <row r="899" ht="15.75" customHeight="1">
      <c r="O899" s="220"/>
    </row>
    <row r="900" ht="15.75" customHeight="1">
      <c r="O900" s="220"/>
    </row>
    <row r="901" ht="15.75" customHeight="1">
      <c r="O901" s="220"/>
    </row>
    <row r="902" ht="15.75" customHeight="1">
      <c r="O902" s="220"/>
    </row>
    <row r="903" ht="15.75" customHeight="1">
      <c r="O903" s="220"/>
    </row>
    <row r="904" ht="15.75" customHeight="1">
      <c r="O904" s="220"/>
    </row>
    <row r="905" ht="15.75" customHeight="1">
      <c r="O905" s="220"/>
    </row>
    <row r="906" ht="15.75" customHeight="1">
      <c r="O906" s="220"/>
    </row>
    <row r="907" ht="15.75" customHeight="1">
      <c r="O907" s="220"/>
    </row>
    <row r="908" ht="15.75" customHeight="1">
      <c r="O908" s="220"/>
    </row>
    <row r="909" ht="15.75" customHeight="1">
      <c r="O909" s="220"/>
    </row>
    <row r="910" ht="15.75" customHeight="1">
      <c r="O910" s="220"/>
    </row>
    <row r="911" ht="15.75" customHeight="1">
      <c r="O911" s="220"/>
    </row>
    <row r="912" ht="15.75" customHeight="1">
      <c r="O912" s="220"/>
    </row>
    <row r="913" ht="15.75" customHeight="1">
      <c r="O913" s="220"/>
    </row>
    <row r="914" ht="15.75" customHeight="1">
      <c r="O914" s="220"/>
    </row>
    <row r="915" ht="15.75" customHeight="1">
      <c r="O915" s="220"/>
    </row>
    <row r="916" ht="15.75" customHeight="1">
      <c r="O916" s="220"/>
    </row>
    <row r="917" ht="15.75" customHeight="1">
      <c r="O917" s="220"/>
    </row>
    <row r="918" ht="15.75" customHeight="1">
      <c r="O918" s="220"/>
    </row>
    <row r="919" ht="15.75" customHeight="1">
      <c r="O919" s="220"/>
    </row>
    <row r="920" ht="15.75" customHeight="1">
      <c r="O920" s="220"/>
    </row>
    <row r="921" ht="15.75" customHeight="1">
      <c r="O921" s="220"/>
    </row>
    <row r="922" ht="15.75" customHeight="1">
      <c r="O922" s="220"/>
    </row>
    <row r="923" ht="15.75" customHeight="1">
      <c r="O923" s="220"/>
    </row>
    <row r="924" ht="15.75" customHeight="1">
      <c r="O924" s="220"/>
    </row>
    <row r="925" ht="15.75" customHeight="1">
      <c r="O925" s="220"/>
    </row>
    <row r="926" ht="15.75" customHeight="1">
      <c r="O926" s="220"/>
    </row>
    <row r="927" ht="15.75" customHeight="1">
      <c r="O927" s="220"/>
    </row>
    <row r="928" ht="15.75" customHeight="1">
      <c r="O928" s="220"/>
    </row>
    <row r="929" ht="15.75" customHeight="1">
      <c r="O929" s="220"/>
    </row>
    <row r="930" ht="15.75" customHeight="1">
      <c r="O930" s="220"/>
    </row>
    <row r="931" ht="15.75" customHeight="1">
      <c r="O931" s="220"/>
    </row>
    <row r="932" ht="15.75" customHeight="1">
      <c r="O932" s="220"/>
    </row>
    <row r="933" ht="15.75" customHeight="1">
      <c r="O933" s="220"/>
    </row>
    <row r="934" ht="15.75" customHeight="1">
      <c r="O934" s="220"/>
    </row>
    <row r="935" ht="15.75" customHeight="1">
      <c r="O935" s="220"/>
    </row>
    <row r="936" ht="15.75" customHeight="1">
      <c r="O936" s="220"/>
    </row>
    <row r="937" ht="15.75" customHeight="1">
      <c r="O937" s="220"/>
    </row>
    <row r="938" ht="15.75" customHeight="1">
      <c r="O938" s="220"/>
    </row>
    <row r="939" ht="15.75" customHeight="1">
      <c r="O939" s="220"/>
    </row>
    <row r="940" ht="15.75" customHeight="1">
      <c r="O940" s="220"/>
    </row>
    <row r="941" ht="15.75" customHeight="1">
      <c r="O941" s="220"/>
    </row>
    <row r="942" ht="15.75" customHeight="1">
      <c r="O942" s="220"/>
    </row>
    <row r="943" ht="15.75" customHeight="1">
      <c r="O943" s="220"/>
    </row>
    <row r="944" ht="15.75" customHeight="1">
      <c r="O944" s="220"/>
    </row>
    <row r="945" ht="15.75" customHeight="1">
      <c r="O945" s="220"/>
    </row>
    <row r="946" ht="15.75" customHeight="1">
      <c r="O946" s="220"/>
    </row>
    <row r="947" ht="15.75" customHeight="1">
      <c r="O947" s="220"/>
    </row>
    <row r="948" ht="15.75" customHeight="1">
      <c r="O948" s="220"/>
    </row>
    <row r="949" ht="15.75" customHeight="1">
      <c r="O949" s="220"/>
    </row>
    <row r="950" ht="15.75" customHeight="1">
      <c r="O950" s="220"/>
    </row>
    <row r="951" ht="15.75" customHeight="1">
      <c r="O951" s="220"/>
    </row>
    <row r="952" ht="15.75" customHeight="1">
      <c r="O952" s="220"/>
    </row>
    <row r="953" ht="15.75" customHeight="1">
      <c r="O953" s="220"/>
    </row>
    <row r="954" ht="15.75" customHeight="1">
      <c r="O954" s="220"/>
    </row>
    <row r="955" ht="15.75" customHeight="1">
      <c r="O955" s="220"/>
    </row>
    <row r="956" ht="15.75" customHeight="1">
      <c r="O956" s="220"/>
    </row>
    <row r="957" ht="15.75" customHeight="1">
      <c r="O957" s="220"/>
    </row>
    <row r="958" ht="15.75" customHeight="1">
      <c r="O958" s="220"/>
    </row>
    <row r="959" ht="15.75" customHeight="1">
      <c r="O959" s="220"/>
    </row>
    <row r="960" ht="15.75" customHeight="1">
      <c r="O960" s="220"/>
    </row>
    <row r="961" ht="15.75" customHeight="1">
      <c r="O961" s="220"/>
    </row>
    <row r="962" ht="15.75" customHeight="1">
      <c r="O962" s="220"/>
    </row>
    <row r="963" ht="15.75" customHeight="1">
      <c r="O963" s="220"/>
    </row>
    <row r="964" ht="15.75" customHeight="1">
      <c r="O964" s="220"/>
    </row>
    <row r="965" ht="15.75" customHeight="1">
      <c r="O965" s="220"/>
    </row>
    <row r="966" ht="15.75" customHeight="1">
      <c r="O966" s="220"/>
    </row>
    <row r="967" ht="15.75" customHeight="1">
      <c r="O967" s="220"/>
    </row>
    <row r="968" ht="15.75" customHeight="1">
      <c r="O968" s="220"/>
    </row>
    <row r="969" ht="15.75" customHeight="1">
      <c r="O969" s="220"/>
    </row>
    <row r="970" ht="15.75" customHeight="1">
      <c r="O970" s="220"/>
    </row>
    <row r="971" ht="15.75" customHeight="1">
      <c r="O971" s="220"/>
    </row>
    <row r="972" ht="15.75" customHeight="1">
      <c r="O972" s="220"/>
    </row>
    <row r="973" ht="15.75" customHeight="1">
      <c r="O973" s="220"/>
    </row>
    <row r="974" ht="15.75" customHeight="1">
      <c r="O974" s="220"/>
    </row>
    <row r="975" ht="15.75" customHeight="1">
      <c r="O975" s="220"/>
    </row>
    <row r="976" ht="15.75" customHeight="1">
      <c r="O976" s="220"/>
    </row>
    <row r="977" ht="15.75" customHeight="1">
      <c r="O977" s="220"/>
    </row>
    <row r="978" ht="15.75" customHeight="1">
      <c r="O978" s="220"/>
    </row>
    <row r="979" ht="15.75" customHeight="1">
      <c r="O979" s="220"/>
    </row>
    <row r="980" ht="15.75" customHeight="1">
      <c r="O980" s="220"/>
    </row>
    <row r="981" ht="15.75" customHeight="1">
      <c r="O981" s="220"/>
    </row>
    <row r="982" ht="15.75" customHeight="1">
      <c r="O982" s="220"/>
    </row>
    <row r="983" ht="15.75" customHeight="1">
      <c r="O983" s="220"/>
    </row>
    <row r="984" ht="15.75" customHeight="1">
      <c r="O984" s="220"/>
    </row>
    <row r="985" ht="15.75" customHeight="1">
      <c r="O985" s="220"/>
    </row>
    <row r="986" ht="15.75" customHeight="1">
      <c r="O986" s="220"/>
    </row>
    <row r="987" ht="15.75" customHeight="1">
      <c r="O987" s="220"/>
    </row>
    <row r="988" ht="15.75" customHeight="1">
      <c r="O988" s="220"/>
    </row>
    <row r="989" ht="15.75" customHeight="1">
      <c r="O989" s="220"/>
    </row>
    <row r="990" ht="15.75" customHeight="1">
      <c r="O990" s="220"/>
    </row>
    <row r="991" ht="15.75" customHeight="1">
      <c r="O991" s="220"/>
    </row>
    <row r="992" ht="15.75" customHeight="1">
      <c r="O992" s="220"/>
    </row>
    <row r="993" ht="15.75" customHeight="1">
      <c r="O993" s="220"/>
    </row>
    <row r="994" ht="15.75" customHeight="1">
      <c r="O994" s="220"/>
    </row>
    <row r="995" ht="15.75" customHeight="1">
      <c r="O995" s="220"/>
    </row>
    <row r="996" ht="15.75" customHeight="1">
      <c r="O996" s="220"/>
    </row>
    <row r="997" ht="15.75" customHeight="1">
      <c r="O997" s="220"/>
    </row>
    <row r="998" ht="15.75" customHeight="1">
      <c r="O998" s="220"/>
    </row>
    <row r="999" ht="15.75" customHeight="1">
      <c r="O999" s="220"/>
    </row>
    <row r="1000" ht="15.75" customHeight="1">
      <c r="O1000" s="220"/>
    </row>
    <row r="1001" ht="15.75" customHeight="1">
      <c r="O1001" s="220"/>
    </row>
    <row r="1002" ht="15.75" customHeight="1">
      <c r="O1002" s="220"/>
    </row>
    <row r="1003" ht="15.75" customHeight="1">
      <c r="O1003" s="220"/>
    </row>
    <row r="1004" ht="15.75" customHeight="1">
      <c r="O1004" s="220"/>
    </row>
    <row r="1005" ht="15.75" customHeight="1">
      <c r="O1005" s="220"/>
    </row>
    <row r="1006" ht="15.75" customHeight="1">
      <c r="O1006" s="220"/>
    </row>
    <row r="1007" ht="15.75" customHeight="1">
      <c r="O1007" s="220"/>
    </row>
    <row r="1008" ht="15.75" customHeight="1">
      <c r="O1008" s="220"/>
    </row>
    <row r="1009" ht="15.75" customHeight="1">
      <c r="O1009" s="220"/>
    </row>
    <row r="1010" ht="15.75" customHeight="1">
      <c r="O1010" s="220"/>
    </row>
    <row r="1011" ht="15.75" customHeight="1">
      <c r="O1011" s="220"/>
    </row>
  </sheetData>
  <autoFilter ref="$A$1:$U$59">
    <filterColumn colId="17">
      <filters>
        <filter val="ACTIVO"/>
      </filters>
    </filterColumn>
  </autoFilter>
  <customSheetViews>
    <customSheetView guid="{3CCA923D-9A87-4ADF-B705-45CFE672D442}" filter="1" showAutoFilter="1">
      <autoFilter ref="$A$1:$T$11"/>
      <extLst>
        <ext uri="GoogleSheetsCustomDataVersion1">
          <go:sheetsCustomData xmlns:go="http://customooxmlschemas.google.com/" filterViewId="1333282767"/>
        </ext>
      </extLst>
    </customSheetView>
    <customSheetView guid="{70F4BBED-E6C4-44DB-9BAE-40BE6DD2E7F8}" filter="1" showAutoFilter="1">
      <autoFilter ref="$A$1:$T$11"/>
      <extLst>
        <ext uri="GoogleSheetsCustomDataVersion1">
          <go:sheetsCustomData xmlns:go="http://customooxmlschemas.google.com/" filterViewId="1698078686"/>
        </ext>
      </extLst>
    </customSheetView>
    <customSheetView guid="{98864304-AF39-4EE8-922A-FFA9F96834CD}" filter="1" showAutoFilter="1">
      <autoFilter ref="$A$1:$T$11"/>
      <extLst>
        <ext uri="GoogleSheetsCustomDataVersion1">
          <go:sheetsCustomData xmlns:go="http://customooxmlschemas.google.com/" filterViewId="1896206141"/>
        </ext>
      </extLst>
    </customSheetView>
    <customSheetView guid="{8F4697A8-9B3B-4A0C-8541-402E1B0E49F2}" filter="1" showAutoFilter="1">
      <autoFilter ref="$A$1:$T$11"/>
      <extLst>
        <ext uri="GoogleSheetsCustomDataVersion1">
          <go:sheetsCustomData xmlns:go="http://customooxmlschemas.google.com/" filterViewId="214285863"/>
        </ext>
      </extLst>
    </customSheetView>
    <customSheetView guid="{009EECFC-DAEA-473A-B3A4-5443A73F16BC}" filter="1" showAutoFilter="1">
      <autoFilter ref="$A$1:$T$40"/>
      <extLst>
        <ext uri="GoogleSheetsCustomDataVersion1">
          <go:sheetsCustomData xmlns:go="http://customooxmlschemas.google.com/" filterViewId="269744835"/>
        </ext>
      </extLst>
    </customSheetView>
    <customSheetView guid="{894FDF7D-FB71-4D92-BF0F-84F25232B3B0}" filter="1" showAutoFilter="1">
      <autoFilter ref="$A$1:$T$40"/>
      <extLst>
        <ext uri="GoogleSheetsCustomDataVersion1">
          <go:sheetsCustomData xmlns:go="http://customooxmlschemas.google.com/" filterViewId="717809391"/>
        </ext>
      </extLst>
    </customSheetView>
    <customSheetView guid="{9E1C7BC5-6722-4997-8385-C5CAAEEEF034}" filter="1" showAutoFilter="1">
      <autoFilter ref="$A$1:$T$40"/>
      <extLst>
        <ext uri="GoogleSheetsCustomDataVersion1">
          <go:sheetsCustomData xmlns:go="http://customooxmlschemas.google.com/" filterViewId="87893052"/>
        </ext>
      </extLst>
    </customSheetView>
  </customSheetViews>
  <dataValidations>
    <dataValidation type="list" allowBlank="1" showErrorMessage="1" sqref="I2:I71">
      <formula1>Hoja!$C$2:$C$3</formula1>
    </dataValidation>
    <dataValidation type="list" allowBlank="1" showErrorMessage="1" sqref="N2:N71">
      <formula1>Hoja!$A$2:$A$3</formula1>
    </dataValidation>
    <dataValidation type="list" allowBlank="1" showErrorMessage="1" sqref="L2:L71">
      <formula1>Hoja!$F$2:$F$5</formula1>
    </dataValidation>
    <dataValidation type="list" allowBlank="1" showErrorMessage="1" sqref="M2:M71">
      <formula1>Hoja!$E$2:$E$11</formula1>
    </dataValidation>
    <dataValidation type="list" allowBlank="1" showErrorMessage="1" sqref="U2:U11 U15:U33 U36:U41 U44 U49:U52 R2:R71">
      <formula1>Hoja!$B$2:$B$3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3.25"/>
    <col customWidth="1" min="3" max="3" width="33.13"/>
    <col customWidth="1" min="4" max="4" width="19.75"/>
    <col customWidth="1" min="5" max="5" width="11.13"/>
    <col customWidth="1" min="6" max="6" width="25.63"/>
    <col customWidth="1" min="7" max="7" width="41.63"/>
    <col customWidth="1" min="8" max="8" width="7.38"/>
    <col customWidth="1" min="9" max="9" width="7.13"/>
    <col customWidth="1" min="10" max="10" width="10.13"/>
    <col customWidth="1" min="11" max="11" width="16.38"/>
    <col customWidth="1" min="12" max="12" width="9.13"/>
    <col customWidth="1" min="13" max="13" width="10.0"/>
    <col customWidth="1" min="14" max="14" width="10.13"/>
    <col customWidth="1" min="15" max="15" width="14.63"/>
    <col customWidth="1" min="16" max="16" width="18.13"/>
    <col customWidth="1" min="17" max="17" width="13.5"/>
    <col customWidth="1" min="18" max="18" width="10.5"/>
    <col customWidth="1" min="19" max="19" width="10.38"/>
    <col customWidth="1" min="20" max="20" width="11.75"/>
    <col customWidth="1" min="21" max="21" width="20.5"/>
  </cols>
  <sheetData>
    <row r="1" ht="15.75" customHeight="1">
      <c r="A1" s="222" t="s">
        <v>253</v>
      </c>
      <c r="B1" s="223" t="s">
        <v>1</v>
      </c>
      <c r="C1" s="224" t="s">
        <v>2</v>
      </c>
      <c r="D1" s="225" t="s">
        <v>3</v>
      </c>
      <c r="E1" s="224" t="s">
        <v>4</v>
      </c>
      <c r="F1" s="224" t="s">
        <v>5</v>
      </c>
      <c r="G1" s="224" t="s">
        <v>6</v>
      </c>
      <c r="H1" s="224" t="s">
        <v>7</v>
      </c>
      <c r="I1" s="224" t="s">
        <v>8</v>
      </c>
      <c r="J1" s="224" t="s">
        <v>9</v>
      </c>
      <c r="K1" s="5" t="s">
        <v>10</v>
      </c>
      <c r="L1" s="224" t="s">
        <v>11</v>
      </c>
      <c r="M1" s="224" t="s">
        <v>12</v>
      </c>
      <c r="N1" s="224" t="s">
        <v>13</v>
      </c>
      <c r="O1" s="225" t="s">
        <v>14</v>
      </c>
      <c r="P1" s="3" t="s">
        <v>15</v>
      </c>
      <c r="Q1" s="225" t="s">
        <v>16</v>
      </c>
      <c r="R1" s="224" t="s">
        <v>17</v>
      </c>
      <c r="S1" s="3" t="s">
        <v>18</v>
      </c>
      <c r="T1" s="226" t="s">
        <v>19</v>
      </c>
      <c r="U1" s="3" t="s">
        <v>20</v>
      </c>
    </row>
    <row r="2" ht="15.75" hidden="1" customHeight="1">
      <c r="A2" s="294" t="s">
        <v>50</v>
      </c>
      <c r="B2" s="276">
        <v>1.01244948E9</v>
      </c>
      <c r="C2" s="277" t="s">
        <v>825</v>
      </c>
      <c r="D2" s="295">
        <v>35804.0</v>
      </c>
      <c r="E2" s="277">
        <v>3.164489604E9</v>
      </c>
      <c r="F2" s="276" t="s">
        <v>826</v>
      </c>
      <c r="G2" s="277" t="s">
        <v>827</v>
      </c>
      <c r="H2" s="199">
        <f t="shared" ref="H2:H25" si="1">(YEAR(NOW())-YEAR(D2))</f>
        <v>28</v>
      </c>
      <c r="I2" s="62" t="s">
        <v>67</v>
      </c>
      <c r="J2" s="7" t="s">
        <v>351</v>
      </c>
      <c r="K2" s="199" t="s">
        <v>89</v>
      </c>
      <c r="L2" s="7" t="s">
        <v>28</v>
      </c>
      <c r="M2" s="12" t="s">
        <v>61</v>
      </c>
      <c r="N2" s="12" t="s">
        <v>62</v>
      </c>
      <c r="O2" s="296">
        <v>44941.0</v>
      </c>
      <c r="P2" s="295">
        <f t="shared" ref="P2:P6" si="2">O2+60</f>
        <v>45001</v>
      </c>
      <c r="Q2" s="13">
        <v>45312.0</v>
      </c>
      <c r="R2" s="24" t="s">
        <v>31</v>
      </c>
      <c r="S2" s="297">
        <v>1300000.0</v>
      </c>
      <c r="T2" s="297">
        <v>650000.0</v>
      </c>
      <c r="U2" s="14" t="s">
        <v>31</v>
      </c>
    </row>
    <row r="3" ht="15.75" hidden="1" customHeight="1">
      <c r="A3" s="7" t="s">
        <v>50</v>
      </c>
      <c r="B3" s="11">
        <v>1.030520042E9</v>
      </c>
      <c r="C3" s="52" t="s">
        <v>828</v>
      </c>
      <c r="D3" s="13">
        <v>35709.0</v>
      </c>
      <c r="E3" s="60">
        <v>3.025230114E9</v>
      </c>
      <c r="F3" s="61" t="s">
        <v>620</v>
      </c>
      <c r="G3" s="60" t="s">
        <v>621</v>
      </c>
      <c r="H3" s="234">
        <f t="shared" si="1"/>
        <v>29</v>
      </c>
      <c r="I3" s="102" t="s">
        <v>25</v>
      </c>
      <c r="J3" s="7" t="s">
        <v>35</v>
      </c>
      <c r="K3" s="79" t="s">
        <v>27</v>
      </c>
      <c r="L3" s="7" t="s">
        <v>28</v>
      </c>
      <c r="M3" s="12" t="s">
        <v>61</v>
      </c>
      <c r="N3" s="12" t="s">
        <v>62</v>
      </c>
      <c r="O3" s="298">
        <v>45300.0</v>
      </c>
      <c r="P3" s="242">
        <f t="shared" si="2"/>
        <v>45360</v>
      </c>
      <c r="Q3" s="22">
        <v>45545.0</v>
      </c>
      <c r="R3" s="24" t="s">
        <v>31</v>
      </c>
      <c r="S3" s="142" t="s">
        <v>63</v>
      </c>
      <c r="T3" s="299" t="s">
        <v>63</v>
      </c>
      <c r="U3" s="14" t="s">
        <v>31</v>
      </c>
    </row>
    <row r="4" ht="15.75" hidden="1" customHeight="1">
      <c r="A4" s="294" t="s">
        <v>50</v>
      </c>
      <c r="B4" s="276">
        <v>1.033745412E9</v>
      </c>
      <c r="C4" s="277" t="s">
        <v>829</v>
      </c>
      <c r="D4" s="295">
        <v>33772.0</v>
      </c>
      <c r="E4" s="277">
        <v>3.125773761E9</v>
      </c>
      <c r="F4" s="276" t="s">
        <v>830</v>
      </c>
      <c r="G4" s="277" t="s">
        <v>470</v>
      </c>
      <c r="H4" s="199">
        <f t="shared" si="1"/>
        <v>34</v>
      </c>
      <c r="I4" s="62" t="s">
        <v>67</v>
      </c>
      <c r="J4" s="7" t="s">
        <v>351</v>
      </c>
      <c r="K4" s="199" t="s">
        <v>89</v>
      </c>
      <c r="L4" s="7" t="s">
        <v>28</v>
      </c>
      <c r="M4" s="12" t="s">
        <v>61</v>
      </c>
      <c r="N4" s="12" t="s">
        <v>62</v>
      </c>
      <c r="O4" s="296">
        <v>45305.0</v>
      </c>
      <c r="P4" s="295">
        <f t="shared" si="2"/>
        <v>45365</v>
      </c>
      <c r="Q4" s="13">
        <v>45313.0</v>
      </c>
      <c r="R4" s="24" t="s">
        <v>31</v>
      </c>
      <c r="S4" s="297">
        <v>1300000.0</v>
      </c>
      <c r="T4" s="297">
        <v>650000.0</v>
      </c>
      <c r="U4" s="14" t="s">
        <v>31</v>
      </c>
    </row>
    <row r="5" ht="15.75" hidden="1" customHeight="1">
      <c r="A5" s="252" t="s">
        <v>115</v>
      </c>
      <c r="B5" s="276">
        <v>3.0895241E7</v>
      </c>
      <c r="C5" s="277" t="s">
        <v>282</v>
      </c>
      <c r="D5" s="295">
        <v>38317.0</v>
      </c>
      <c r="E5" s="277">
        <v>3.017387084E9</v>
      </c>
      <c r="F5" s="276" t="s">
        <v>283</v>
      </c>
      <c r="G5" s="277" t="s">
        <v>284</v>
      </c>
      <c r="H5" s="199">
        <f t="shared" si="1"/>
        <v>22</v>
      </c>
      <c r="I5" s="62" t="s">
        <v>67</v>
      </c>
      <c r="J5" s="7" t="s">
        <v>351</v>
      </c>
      <c r="K5" s="199" t="s">
        <v>89</v>
      </c>
      <c r="L5" s="7" t="s">
        <v>28</v>
      </c>
      <c r="M5" s="12" t="s">
        <v>61</v>
      </c>
      <c r="N5" s="12" t="s">
        <v>62</v>
      </c>
      <c r="O5" s="296">
        <v>45252.0</v>
      </c>
      <c r="P5" s="295">
        <f t="shared" si="2"/>
        <v>45312</v>
      </c>
      <c r="Q5" s="13">
        <v>45351.0</v>
      </c>
      <c r="R5" s="24" t="s">
        <v>31</v>
      </c>
      <c r="S5" s="297">
        <v>1462000.0</v>
      </c>
      <c r="T5" s="297">
        <v>731000.0</v>
      </c>
      <c r="U5" s="14" t="s">
        <v>31</v>
      </c>
    </row>
    <row r="6" ht="15.75" hidden="1" customHeight="1">
      <c r="A6" s="294" t="s">
        <v>50</v>
      </c>
      <c r="B6" s="276">
        <v>1.109491015E9</v>
      </c>
      <c r="C6" s="277" t="s">
        <v>831</v>
      </c>
      <c r="D6" s="295">
        <v>38496.0</v>
      </c>
      <c r="E6" s="277">
        <v>3.142376933E9</v>
      </c>
      <c r="F6" s="276" t="s">
        <v>832</v>
      </c>
      <c r="G6" s="277" t="s">
        <v>166</v>
      </c>
      <c r="H6" s="199">
        <f t="shared" si="1"/>
        <v>21</v>
      </c>
      <c r="I6" s="102" t="s">
        <v>25</v>
      </c>
      <c r="J6" s="7" t="s">
        <v>351</v>
      </c>
      <c r="K6" s="199" t="s">
        <v>89</v>
      </c>
      <c r="L6" s="7" t="s">
        <v>48</v>
      </c>
      <c r="M6" s="12" t="s">
        <v>61</v>
      </c>
      <c r="N6" s="12" t="s">
        <v>62</v>
      </c>
      <c r="O6" s="296">
        <v>45388.0</v>
      </c>
      <c r="P6" s="295">
        <f t="shared" si="2"/>
        <v>45448</v>
      </c>
      <c r="Q6" s="13">
        <v>45458.0</v>
      </c>
      <c r="R6" s="24" t="s">
        <v>31</v>
      </c>
      <c r="S6" s="297">
        <v>1462000.0</v>
      </c>
      <c r="T6" s="297">
        <v>731000.0</v>
      </c>
      <c r="U6" s="14" t="s">
        <v>31</v>
      </c>
    </row>
    <row r="7" ht="15.75" hidden="1" customHeight="1">
      <c r="A7" s="300" t="s">
        <v>50</v>
      </c>
      <c r="B7" s="267">
        <v>1.236439578E9</v>
      </c>
      <c r="C7" s="267" t="s">
        <v>833</v>
      </c>
      <c r="D7" s="301">
        <v>36594.0</v>
      </c>
      <c r="E7" s="267">
        <v>3.022474285E9</v>
      </c>
      <c r="F7" s="267" t="s">
        <v>834</v>
      </c>
      <c r="G7" s="196" t="s">
        <v>835</v>
      </c>
      <c r="H7" s="60">
        <f t="shared" si="1"/>
        <v>26</v>
      </c>
      <c r="I7" s="62" t="s">
        <v>67</v>
      </c>
      <c r="J7" s="7" t="s">
        <v>26</v>
      </c>
      <c r="K7" s="60" t="s">
        <v>89</v>
      </c>
      <c r="L7" s="7" t="s">
        <v>48</v>
      </c>
      <c r="M7" s="12" t="s">
        <v>61</v>
      </c>
      <c r="N7" s="12" t="s">
        <v>62</v>
      </c>
      <c r="O7" s="302">
        <v>45683.0</v>
      </c>
      <c r="P7" s="189">
        <f>O7+60</f>
        <v>45743</v>
      </c>
      <c r="Q7" s="11" t="s">
        <v>836</v>
      </c>
      <c r="R7" s="24" t="s">
        <v>31</v>
      </c>
      <c r="S7" s="273">
        <v>1623500.0</v>
      </c>
      <c r="T7" s="273">
        <v>811750.0</v>
      </c>
      <c r="U7" s="14" t="s">
        <v>31</v>
      </c>
    </row>
    <row r="8" ht="15.75" hidden="1" customHeight="1">
      <c r="A8" s="107" t="s">
        <v>50</v>
      </c>
      <c r="B8" s="140">
        <v>1.109491149E9</v>
      </c>
      <c r="C8" s="140" t="s">
        <v>837</v>
      </c>
      <c r="D8" s="303">
        <v>38683.0</v>
      </c>
      <c r="E8" s="140">
        <v>3.133207505E9</v>
      </c>
      <c r="F8" s="140" t="s">
        <v>838</v>
      </c>
      <c r="G8" s="140" t="s">
        <v>839</v>
      </c>
      <c r="H8" s="228">
        <f t="shared" si="1"/>
        <v>21</v>
      </c>
      <c r="I8" s="62" t="s">
        <v>67</v>
      </c>
      <c r="J8" s="7" t="s">
        <v>351</v>
      </c>
      <c r="K8" s="60" t="s">
        <v>89</v>
      </c>
      <c r="L8" s="7" t="s">
        <v>28</v>
      </c>
      <c r="M8" s="12" t="s">
        <v>61</v>
      </c>
      <c r="N8" s="12" t="s">
        <v>62</v>
      </c>
      <c r="O8" s="304">
        <v>45634.0</v>
      </c>
      <c r="P8" s="241">
        <f t="shared" ref="P8:P16" si="3">O8+60</f>
        <v>45694</v>
      </c>
      <c r="Q8" s="11" t="s">
        <v>840</v>
      </c>
      <c r="R8" s="24" t="s">
        <v>31</v>
      </c>
      <c r="S8" s="297">
        <v>1462000.0</v>
      </c>
      <c r="T8" s="297">
        <v>731000.0</v>
      </c>
      <c r="U8" s="14" t="s">
        <v>31</v>
      </c>
    </row>
    <row r="9" ht="15.75" hidden="1" customHeight="1">
      <c r="A9" s="107" t="s">
        <v>115</v>
      </c>
      <c r="B9" s="140">
        <v>3.1414361E7</v>
      </c>
      <c r="C9" s="138" t="s">
        <v>326</v>
      </c>
      <c r="D9" s="305">
        <v>38661.0</v>
      </c>
      <c r="E9" s="138">
        <v>3.018274851E9</v>
      </c>
      <c r="F9" s="140" t="s">
        <v>327</v>
      </c>
      <c r="G9" s="138" t="s">
        <v>841</v>
      </c>
      <c r="H9" s="181">
        <f t="shared" si="1"/>
        <v>21</v>
      </c>
      <c r="I9" s="102" t="s">
        <v>25</v>
      </c>
      <c r="J9" s="7" t="s">
        <v>351</v>
      </c>
      <c r="K9" s="199" t="s">
        <v>89</v>
      </c>
      <c r="L9" s="7" t="s">
        <v>48</v>
      </c>
      <c r="M9" s="12" t="s">
        <v>61</v>
      </c>
      <c r="N9" s="12" t="s">
        <v>62</v>
      </c>
      <c r="O9" s="296">
        <v>45327.0</v>
      </c>
      <c r="P9" s="295">
        <f t="shared" si="3"/>
        <v>45387</v>
      </c>
      <c r="Q9" s="13">
        <v>45351.0</v>
      </c>
      <c r="R9" s="24" t="s">
        <v>31</v>
      </c>
      <c r="S9" s="297">
        <v>1462000.0</v>
      </c>
      <c r="T9" s="297">
        <v>731000.0</v>
      </c>
      <c r="U9" s="14" t="s">
        <v>31</v>
      </c>
    </row>
    <row r="10" ht="15.75" hidden="1" customHeight="1">
      <c r="A10" s="255" t="s">
        <v>115</v>
      </c>
      <c r="B10" s="255">
        <v>3.1414361E7</v>
      </c>
      <c r="C10" s="294" t="s">
        <v>326</v>
      </c>
      <c r="D10" s="306">
        <v>38661.0</v>
      </c>
      <c r="E10" s="294">
        <v>3.018274851E9</v>
      </c>
      <c r="F10" s="255" t="s">
        <v>327</v>
      </c>
      <c r="G10" s="294" t="s">
        <v>841</v>
      </c>
      <c r="H10" s="63">
        <f t="shared" si="1"/>
        <v>21</v>
      </c>
      <c r="I10" s="102" t="s">
        <v>25</v>
      </c>
      <c r="J10" s="7" t="s">
        <v>351</v>
      </c>
      <c r="K10" s="63" t="s">
        <v>89</v>
      </c>
      <c r="L10" s="7" t="s">
        <v>48</v>
      </c>
      <c r="M10" s="12" t="s">
        <v>61</v>
      </c>
      <c r="N10" s="12" t="s">
        <v>62</v>
      </c>
      <c r="O10" s="307">
        <v>45359.0</v>
      </c>
      <c r="P10" s="69">
        <f t="shared" si="3"/>
        <v>45419</v>
      </c>
      <c r="Q10" s="13">
        <v>45476.0</v>
      </c>
      <c r="R10" s="24" t="s">
        <v>31</v>
      </c>
      <c r="S10" s="142">
        <v>1462000.0</v>
      </c>
      <c r="T10" s="299">
        <v>731000.0</v>
      </c>
      <c r="U10" s="14" t="s">
        <v>31</v>
      </c>
    </row>
    <row r="11" ht="15.75" hidden="1" customHeight="1">
      <c r="A11" s="52" t="s">
        <v>50</v>
      </c>
      <c r="B11" s="117">
        <v>1.030708168E9</v>
      </c>
      <c r="C11" s="52" t="s">
        <v>842</v>
      </c>
      <c r="D11" s="308">
        <v>35804.0</v>
      </c>
      <c r="E11" s="52">
        <v>3.249741283E9</v>
      </c>
      <c r="F11" s="52" t="s">
        <v>843</v>
      </c>
      <c r="G11" s="52" t="s">
        <v>843</v>
      </c>
      <c r="H11" s="79">
        <f t="shared" si="1"/>
        <v>28</v>
      </c>
      <c r="I11" s="62" t="s">
        <v>67</v>
      </c>
      <c r="J11" s="7" t="s">
        <v>351</v>
      </c>
      <c r="K11" s="63" t="s">
        <v>89</v>
      </c>
      <c r="L11" s="7" t="s">
        <v>28</v>
      </c>
      <c r="M11" s="12" t="s">
        <v>61</v>
      </c>
      <c r="N11" s="12" t="s">
        <v>62</v>
      </c>
      <c r="O11" s="110">
        <v>44932.0</v>
      </c>
      <c r="P11" s="309">
        <f t="shared" si="3"/>
        <v>44992</v>
      </c>
      <c r="Q11" s="13">
        <v>45327.0</v>
      </c>
      <c r="R11" s="24" t="s">
        <v>31</v>
      </c>
      <c r="S11" s="142">
        <v>1300000.0</v>
      </c>
      <c r="T11" s="299">
        <v>650000.0</v>
      </c>
      <c r="U11" s="14" t="s">
        <v>31</v>
      </c>
    </row>
    <row r="12" ht="15.75" hidden="1" customHeight="1">
      <c r="A12" s="113" t="s">
        <v>21</v>
      </c>
      <c r="B12" s="218">
        <v>5212719.0</v>
      </c>
      <c r="C12" s="113" t="s">
        <v>348</v>
      </c>
      <c r="D12" s="310">
        <v>36829.0</v>
      </c>
      <c r="E12" s="113">
        <v>3.187432105E9</v>
      </c>
      <c r="F12" s="206" t="s">
        <v>844</v>
      </c>
      <c r="G12" s="40" t="s">
        <v>845</v>
      </c>
      <c r="H12" s="150">
        <f t="shared" si="1"/>
        <v>26</v>
      </c>
      <c r="I12" s="62" t="s">
        <v>67</v>
      </c>
      <c r="J12" s="7" t="s">
        <v>26</v>
      </c>
      <c r="K12" s="150" t="s">
        <v>89</v>
      </c>
      <c r="L12" s="11" t="s">
        <v>48</v>
      </c>
      <c r="M12" s="12" t="s">
        <v>61</v>
      </c>
      <c r="N12" s="12" t="s">
        <v>62</v>
      </c>
      <c r="O12" s="311">
        <v>45709.0</v>
      </c>
      <c r="P12" s="21">
        <f t="shared" si="3"/>
        <v>45769</v>
      </c>
      <c r="Q12" s="11" t="s">
        <v>846</v>
      </c>
      <c r="R12" s="24" t="s">
        <v>31</v>
      </c>
      <c r="S12" s="145">
        <v>1423500.0</v>
      </c>
      <c r="T12" s="145">
        <v>711750.0</v>
      </c>
      <c r="U12" s="14" t="s">
        <v>31</v>
      </c>
    </row>
    <row r="13" ht="15.75" hidden="1" customHeight="1">
      <c r="A13" s="300" t="s">
        <v>115</v>
      </c>
      <c r="B13" s="267">
        <v>7872224.0</v>
      </c>
      <c r="C13" s="312" t="s">
        <v>847</v>
      </c>
      <c r="D13" s="313">
        <v>24504.0</v>
      </c>
      <c r="E13" s="312">
        <v>3.134908603E9</v>
      </c>
      <c r="F13" s="267" t="s">
        <v>848</v>
      </c>
      <c r="G13" s="312" t="s">
        <v>849</v>
      </c>
      <c r="H13" s="79">
        <f t="shared" si="1"/>
        <v>59</v>
      </c>
      <c r="I13" s="102" t="s">
        <v>25</v>
      </c>
      <c r="J13" s="7" t="s">
        <v>351</v>
      </c>
      <c r="K13" s="199" t="s">
        <v>89</v>
      </c>
      <c r="L13" s="7" t="s">
        <v>28</v>
      </c>
      <c r="M13" s="12" t="s">
        <v>61</v>
      </c>
      <c r="N13" s="12" t="s">
        <v>62</v>
      </c>
      <c r="O13" s="296">
        <v>45282.0</v>
      </c>
      <c r="P13" s="295">
        <f t="shared" si="3"/>
        <v>45342</v>
      </c>
      <c r="Q13" s="13">
        <v>45351.0</v>
      </c>
      <c r="R13" s="24" t="s">
        <v>31</v>
      </c>
      <c r="S13" s="297">
        <v>1462000.0</v>
      </c>
      <c r="T13" s="297">
        <v>731000.0</v>
      </c>
      <c r="U13" s="14" t="s">
        <v>31</v>
      </c>
    </row>
    <row r="14" ht="15.75" hidden="1" customHeight="1">
      <c r="A14" s="200" t="s">
        <v>21</v>
      </c>
      <c r="B14" s="238">
        <v>1888599.0</v>
      </c>
      <c r="C14" s="238" t="s">
        <v>850</v>
      </c>
      <c r="D14" s="314">
        <v>32617.0</v>
      </c>
      <c r="E14" s="238">
        <v>3.022003123E9</v>
      </c>
      <c r="F14" s="238" t="s">
        <v>851</v>
      </c>
      <c r="G14" s="238" t="s">
        <v>852</v>
      </c>
      <c r="H14" s="199">
        <f t="shared" si="1"/>
        <v>37</v>
      </c>
      <c r="I14" s="102" t="s">
        <v>25</v>
      </c>
      <c r="J14" s="7" t="s">
        <v>26</v>
      </c>
      <c r="K14" s="60" t="s">
        <v>89</v>
      </c>
      <c r="L14" s="11" t="s">
        <v>48</v>
      </c>
      <c r="M14" s="12" t="s">
        <v>61</v>
      </c>
      <c r="N14" s="12" t="s">
        <v>62</v>
      </c>
      <c r="O14" s="274">
        <v>45806.0</v>
      </c>
      <c r="P14" s="246">
        <f t="shared" si="3"/>
        <v>45866</v>
      </c>
      <c r="Q14" s="11" t="s">
        <v>853</v>
      </c>
      <c r="R14" s="24" t="s">
        <v>31</v>
      </c>
      <c r="S14" s="315">
        <v>1623500.0</v>
      </c>
      <c r="T14" s="315">
        <v>811750.0</v>
      </c>
      <c r="U14" s="14" t="s">
        <v>31</v>
      </c>
    </row>
    <row r="15" ht="15.75" hidden="1" customHeight="1">
      <c r="A15" s="107" t="s">
        <v>115</v>
      </c>
      <c r="B15" s="140">
        <v>2.7479945E7</v>
      </c>
      <c r="C15" s="138" t="s">
        <v>854</v>
      </c>
      <c r="D15" s="305">
        <v>36015.0</v>
      </c>
      <c r="E15" s="138">
        <v>5.8424583394E11</v>
      </c>
      <c r="F15" s="140" t="s">
        <v>855</v>
      </c>
      <c r="G15" s="138" t="s">
        <v>856</v>
      </c>
      <c r="H15" s="199">
        <f t="shared" si="1"/>
        <v>28</v>
      </c>
      <c r="I15" s="102" t="s">
        <v>25</v>
      </c>
      <c r="J15" s="7" t="s">
        <v>351</v>
      </c>
      <c r="K15" s="199" t="s">
        <v>89</v>
      </c>
      <c r="L15" s="7" t="s">
        <v>28</v>
      </c>
      <c r="M15" s="12" t="s">
        <v>61</v>
      </c>
      <c r="N15" s="12" t="s">
        <v>62</v>
      </c>
      <c r="O15" s="296">
        <v>45264.0</v>
      </c>
      <c r="P15" s="295">
        <f t="shared" si="3"/>
        <v>45324</v>
      </c>
      <c r="Q15" s="13">
        <v>45351.0</v>
      </c>
      <c r="R15" s="24" t="s">
        <v>31</v>
      </c>
      <c r="S15" s="297">
        <v>1462000.0</v>
      </c>
      <c r="T15" s="297">
        <v>731000.0</v>
      </c>
      <c r="U15" s="14" t="s">
        <v>31</v>
      </c>
    </row>
    <row r="16" ht="15.75" hidden="1" customHeight="1">
      <c r="A16" s="113" t="s">
        <v>115</v>
      </c>
      <c r="B16" s="76">
        <v>2.7471675E7</v>
      </c>
      <c r="C16" s="76" t="s">
        <v>762</v>
      </c>
      <c r="D16" s="316">
        <v>36582.0</v>
      </c>
      <c r="E16" s="76">
        <v>3.0133266E9</v>
      </c>
      <c r="F16" s="76" t="s">
        <v>763</v>
      </c>
      <c r="G16" s="76" t="s">
        <v>764</v>
      </c>
      <c r="H16" s="289">
        <f t="shared" si="1"/>
        <v>26</v>
      </c>
      <c r="I16" s="102" t="s">
        <v>25</v>
      </c>
      <c r="J16" s="7" t="s">
        <v>26</v>
      </c>
      <c r="K16" s="60" t="s">
        <v>89</v>
      </c>
      <c r="L16" s="11" t="s">
        <v>73</v>
      </c>
      <c r="M16" s="12" t="s">
        <v>61</v>
      </c>
      <c r="N16" s="12" t="s">
        <v>62</v>
      </c>
      <c r="O16" s="290">
        <v>45670.0</v>
      </c>
      <c r="P16" s="59">
        <f t="shared" si="3"/>
        <v>45730</v>
      </c>
      <c r="Q16" s="22">
        <v>45906.0</v>
      </c>
      <c r="R16" s="24" t="s">
        <v>31</v>
      </c>
      <c r="S16" s="315">
        <v>1623500.0</v>
      </c>
      <c r="T16" s="315">
        <v>811750.0</v>
      </c>
      <c r="U16" s="14" t="s">
        <v>31</v>
      </c>
    </row>
    <row r="17" ht="15.75" hidden="1" customHeight="1">
      <c r="A17" s="42" t="s">
        <v>21</v>
      </c>
      <c r="B17" s="317">
        <v>3046989.0</v>
      </c>
      <c r="C17" s="152" t="s">
        <v>129</v>
      </c>
      <c r="D17" s="318">
        <v>35899.0</v>
      </c>
      <c r="E17" s="192">
        <v>3.025962223E9</v>
      </c>
      <c r="F17" s="200" t="s">
        <v>130</v>
      </c>
      <c r="G17" s="200" t="s">
        <v>857</v>
      </c>
      <c r="H17" s="60">
        <f t="shared" si="1"/>
        <v>28</v>
      </c>
      <c r="I17" s="62" t="s">
        <v>67</v>
      </c>
      <c r="J17" s="7" t="s">
        <v>35</v>
      </c>
      <c r="K17" s="61" t="s">
        <v>36</v>
      </c>
      <c r="L17" s="7" t="s">
        <v>28</v>
      </c>
      <c r="M17" s="12" t="s">
        <v>61</v>
      </c>
      <c r="N17" s="12" t="s">
        <v>62</v>
      </c>
      <c r="O17" s="183">
        <v>45236.0</v>
      </c>
      <c r="P17" s="103">
        <f>O17+90</f>
        <v>45326</v>
      </c>
      <c r="Q17" s="36" t="s">
        <v>836</v>
      </c>
      <c r="R17" s="24" t="s">
        <v>31</v>
      </c>
      <c r="S17" s="315">
        <v>1423500.0</v>
      </c>
      <c r="T17" s="315">
        <v>711750.0</v>
      </c>
      <c r="U17" s="14" t="s">
        <v>31</v>
      </c>
    </row>
    <row r="18" ht="15.75" hidden="1" customHeight="1">
      <c r="A18" s="255" t="s">
        <v>115</v>
      </c>
      <c r="B18" s="255">
        <v>2.7049928E7</v>
      </c>
      <c r="C18" s="294" t="s">
        <v>858</v>
      </c>
      <c r="D18" s="306">
        <v>35850.0</v>
      </c>
      <c r="E18" s="294">
        <v>3.002058863E9</v>
      </c>
      <c r="F18" s="255" t="s">
        <v>859</v>
      </c>
      <c r="G18" s="294" t="s">
        <v>860</v>
      </c>
      <c r="H18" s="199">
        <f t="shared" si="1"/>
        <v>28</v>
      </c>
      <c r="I18" s="102" t="s">
        <v>25</v>
      </c>
      <c r="J18" s="7" t="s">
        <v>351</v>
      </c>
      <c r="K18" s="199" t="s">
        <v>89</v>
      </c>
      <c r="L18" s="7" t="s">
        <v>28</v>
      </c>
      <c r="M18" s="12" t="s">
        <v>61</v>
      </c>
      <c r="N18" s="12" t="s">
        <v>62</v>
      </c>
      <c r="O18" s="307">
        <v>45271.0</v>
      </c>
      <c r="P18" s="295">
        <f t="shared" ref="P18:P44" si="4">O18+60</f>
        <v>45331</v>
      </c>
      <c r="Q18" s="13">
        <v>45351.0</v>
      </c>
      <c r="R18" s="24" t="s">
        <v>31</v>
      </c>
      <c r="S18" s="297">
        <v>1462000.0</v>
      </c>
      <c r="T18" s="297">
        <v>731000.0</v>
      </c>
      <c r="U18" s="14" t="s">
        <v>31</v>
      </c>
    </row>
    <row r="19" ht="15.75" hidden="1" customHeight="1">
      <c r="A19" s="52" t="s">
        <v>50</v>
      </c>
      <c r="B19" s="117">
        <v>1.149962429E9</v>
      </c>
      <c r="C19" s="52" t="s">
        <v>393</v>
      </c>
      <c r="D19" s="69">
        <v>37354.0</v>
      </c>
      <c r="E19" s="67">
        <v>3.044096661E9</v>
      </c>
      <c r="F19" s="52" t="s">
        <v>843</v>
      </c>
      <c r="G19" s="52" t="s">
        <v>843</v>
      </c>
      <c r="H19" s="63">
        <f t="shared" si="1"/>
        <v>24</v>
      </c>
      <c r="I19" s="102" t="s">
        <v>25</v>
      </c>
      <c r="J19" s="7" t="s">
        <v>351</v>
      </c>
      <c r="K19" s="63" t="s">
        <v>89</v>
      </c>
      <c r="L19" s="7" t="s">
        <v>28</v>
      </c>
      <c r="M19" s="12" t="s">
        <v>61</v>
      </c>
      <c r="N19" s="12" t="s">
        <v>62</v>
      </c>
      <c r="O19" s="110">
        <v>45317.0</v>
      </c>
      <c r="P19" s="69">
        <f t="shared" si="4"/>
        <v>45377</v>
      </c>
      <c r="Q19" s="13">
        <v>45351.0</v>
      </c>
      <c r="R19" s="24" t="s">
        <v>31</v>
      </c>
      <c r="S19" s="142">
        <v>1462000.0</v>
      </c>
      <c r="T19" s="142">
        <v>731000.0</v>
      </c>
      <c r="U19" s="14" t="s">
        <v>31</v>
      </c>
    </row>
    <row r="20" ht="15.75" hidden="1" customHeight="1">
      <c r="A20" s="113" t="s">
        <v>50</v>
      </c>
      <c r="B20" s="76">
        <v>1.01235282E9</v>
      </c>
      <c r="C20" s="76" t="s">
        <v>861</v>
      </c>
      <c r="D20" s="319">
        <v>39225.0</v>
      </c>
      <c r="E20" s="76">
        <v>3.222536107E9</v>
      </c>
      <c r="F20" s="76" t="s">
        <v>862</v>
      </c>
      <c r="G20" s="76" t="s">
        <v>863</v>
      </c>
      <c r="H20" s="60">
        <f t="shared" si="1"/>
        <v>19</v>
      </c>
      <c r="I20" s="62" t="s">
        <v>67</v>
      </c>
      <c r="J20" s="7" t="s">
        <v>26</v>
      </c>
      <c r="K20" s="150" t="s">
        <v>89</v>
      </c>
      <c r="L20" s="11" t="s">
        <v>73</v>
      </c>
      <c r="M20" s="12" t="s">
        <v>61</v>
      </c>
      <c r="N20" s="12" t="s">
        <v>62</v>
      </c>
      <c r="O20" s="320">
        <v>45691.0</v>
      </c>
      <c r="P20" s="189">
        <f t="shared" si="4"/>
        <v>45751</v>
      </c>
      <c r="Q20" s="22">
        <v>45965.0</v>
      </c>
      <c r="R20" s="24" t="s">
        <v>31</v>
      </c>
      <c r="S20" s="145">
        <v>1423500.0</v>
      </c>
      <c r="T20" s="145">
        <v>711750.0</v>
      </c>
      <c r="U20" s="14" t="s">
        <v>31</v>
      </c>
    </row>
    <row r="21" ht="15.75" hidden="1" customHeight="1">
      <c r="A21" s="200" t="s">
        <v>50</v>
      </c>
      <c r="B21" s="196">
        <v>1.073683464E9</v>
      </c>
      <c r="C21" s="196" t="s">
        <v>864</v>
      </c>
      <c r="D21" s="321">
        <v>38786.0</v>
      </c>
      <c r="E21" s="196">
        <v>3.157168119E9</v>
      </c>
      <c r="F21" s="196" t="s">
        <v>865</v>
      </c>
      <c r="G21" s="196" t="s">
        <v>866</v>
      </c>
      <c r="H21" s="60">
        <f t="shared" si="1"/>
        <v>20</v>
      </c>
      <c r="I21" s="102" t="s">
        <v>25</v>
      </c>
      <c r="J21" s="7" t="s">
        <v>26</v>
      </c>
      <c r="K21" s="60" t="s">
        <v>89</v>
      </c>
      <c r="L21" s="7" t="s">
        <v>48</v>
      </c>
      <c r="M21" s="12" t="s">
        <v>61</v>
      </c>
      <c r="N21" s="12" t="s">
        <v>62</v>
      </c>
      <c r="O21" s="322">
        <v>45994.0</v>
      </c>
      <c r="P21" s="189">
        <f t="shared" si="4"/>
        <v>46054</v>
      </c>
      <c r="Q21" s="22">
        <v>45813.0</v>
      </c>
      <c r="R21" s="24" t="s">
        <v>31</v>
      </c>
      <c r="S21" s="315">
        <v>1623500.0</v>
      </c>
      <c r="T21" s="315">
        <v>811750.0</v>
      </c>
      <c r="U21" s="14" t="s">
        <v>31</v>
      </c>
    </row>
    <row r="22" ht="15.75" hidden="1" customHeight="1">
      <c r="A22" s="323" t="s">
        <v>50</v>
      </c>
      <c r="B22" s="324">
        <v>1.073692361E9</v>
      </c>
      <c r="C22" s="199" t="s">
        <v>867</v>
      </c>
      <c r="D22" s="325">
        <v>33592.0</v>
      </c>
      <c r="E22" s="199">
        <v>3.118241919E9</v>
      </c>
      <c r="F22" s="326" t="s">
        <v>868</v>
      </c>
      <c r="G22" s="199" t="s">
        <v>869</v>
      </c>
      <c r="H22" s="199">
        <f t="shared" si="1"/>
        <v>35</v>
      </c>
      <c r="I22" s="102" t="s">
        <v>25</v>
      </c>
      <c r="J22" s="7" t="s">
        <v>351</v>
      </c>
      <c r="K22" s="199" t="s">
        <v>89</v>
      </c>
      <c r="L22" s="7" t="s">
        <v>28</v>
      </c>
      <c r="M22" s="12" t="s">
        <v>61</v>
      </c>
      <c r="N22" s="12" t="s">
        <v>62</v>
      </c>
      <c r="O22" s="325">
        <v>45244.0</v>
      </c>
      <c r="P22" s="296">
        <f t="shared" si="4"/>
        <v>45304</v>
      </c>
      <c r="Q22" s="13">
        <v>45310.0</v>
      </c>
      <c r="R22" s="24" t="s">
        <v>31</v>
      </c>
      <c r="S22" s="297">
        <v>1300000.0</v>
      </c>
      <c r="T22" s="297">
        <v>650000.0</v>
      </c>
      <c r="U22" s="14" t="s">
        <v>31</v>
      </c>
    </row>
    <row r="23" ht="15.75" hidden="1" customHeight="1">
      <c r="A23" s="294" t="s">
        <v>21</v>
      </c>
      <c r="B23" s="255">
        <v>6438274.0</v>
      </c>
      <c r="C23" s="294" t="s">
        <v>442</v>
      </c>
      <c r="D23" s="306">
        <v>37908.0</v>
      </c>
      <c r="E23" s="294">
        <v>3.125429106E9</v>
      </c>
      <c r="F23" s="255" t="s">
        <v>443</v>
      </c>
      <c r="G23" s="294" t="s">
        <v>444</v>
      </c>
      <c r="H23" s="199">
        <f t="shared" si="1"/>
        <v>23</v>
      </c>
      <c r="I23" s="102" t="s">
        <v>25</v>
      </c>
      <c r="J23" s="7" t="s">
        <v>351</v>
      </c>
      <c r="K23" s="199" t="s">
        <v>89</v>
      </c>
      <c r="L23" s="7" t="s">
        <v>28</v>
      </c>
      <c r="M23" s="12" t="s">
        <v>61</v>
      </c>
      <c r="N23" s="12" t="s">
        <v>62</v>
      </c>
      <c r="O23" s="307">
        <v>45253.0</v>
      </c>
      <c r="P23" s="295">
        <f t="shared" si="4"/>
        <v>45313</v>
      </c>
      <c r="Q23" s="13">
        <v>45351.0</v>
      </c>
      <c r="R23" s="24" t="s">
        <v>31</v>
      </c>
      <c r="S23" s="142">
        <v>1462000.0</v>
      </c>
      <c r="T23" s="299">
        <v>731000.0</v>
      </c>
      <c r="U23" s="14" t="s">
        <v>31</v>
      </c>
    </row>
    <row r="24" ht="15.75" hidden="1" customHeight="1">
      <c r="A24" s="40" t="s">
        <v>115</v>
      </c>
      <c r="B24" s="40">
        <v>3.1593846E7</v>
      </c>
      <c r="C24" s="34" t="s">
        <v>681</v>
      </c>
      <c r="D24" s="231">
        <v>38465.0</v>
      </c>
      <c r="E24" s="294">
        <v>3.015448935E9</v>
      </c>
      <c r="F24" s="255" t="s">
        <v>870</v>
      </c>
      <c r="G24" s="294" t="s">
        <v>871</v>
      </c>
      <c r="H24" s="199">
        <f t="shared" si="1"/>
        <v>21</v>
      </c>
      <c r="I24" s="102" t="s">
        <v>25</v>
      </c>
      <c r="J24" s="7" t="s">
        <v>351</v>
      </c>
      <c r="K24" s="199" t="s">
        <v>89</v>
      </c>
      <c r="L24" s="11" t="s">
        <v>28</v>
      </c>
      <c r="M24" s="12" t="s">
        <v>61</v>
      </c>
      <c r="N24" s="12" t="s">
        <v>62</v>
      </c>
      <c r="O24" s="327">
        <v>45482.0</v>
      </c>
      <c r="P24" s="328">
        <f t="shared" si="4"/>
        <v>45542</v>
      </c>
      <c r="Q24" s="11" t="s">
        <v>872</v>
      </c>
      <c r="R24" s="24" t="s">
        <v>31</v>
      </c>
      <c r="S24" s="315">
        <v>1423500.0</v>
      </c>
      <c r="T24" s="315">
        <v>711750.0</v>
      </c>
      <c r="U24" s="14" t="s">
        <v>31</v>
      </c>
    </row>
    <row r="25" ht="15.75" hidden="1" customHeight="1">
      <c r="A25" s="294" t="s">
        <v>21</v>
      </c>
      <c r="B25" s="255">
        <v>5917404.0</v>
      </c>
      <c r="C25" s="294" t="s">
        <v>873</v>
      </c>
      <c r="D25" s="306">
        <v>34826.0</v>
      </c>
      <c r="E25" s="294">
        <v>3.01171454E9</v>
      </c>
      <c r="F25" s="255" t="s">
        <v>874</v>
      </c>
      <c r="G25" s="294" t="s">
        <v>875</v>
      </c>
      <c r="H25" s="199">
        <f t="shared" si="1"/>
        <v>31</v>
      </c>
      <c r="I25" s="102" t="s">
        <v>25</v>
      </c>
      <c r="J25" s="7" t="s">
        <v>351</v>
      </c>
      <c r="K25" s="199" t="s">
        <v>89</v>
      </c>
      <c r="L25" s="7" t="s">
        <v>28</v>
      </c>
      <c r="M25" s="12" t="s">
        <v>61</v>
      </c>
      <c r="N25" s="12" t="s">
        <v>62</v>
      </c>
      <c r="O25" s="307">
        <v>45299.0</v>
      </c>
      <c r="P25" s="295">
        <f t="shared" si="4"/>
        <v>45359</v>
      </c>
      <c r="Q25" s="13">
        <v>45439.0</v>
      </c>
      <c r="R25" s="24" t="s">
        <v>31</v>
      </c>
      <c r="S25" s="297" t="s">
        <v>63</v>
      </c>
      <c r="T25" s="297" t="s">
        <v>63</v>
      </c>
      <c r="U25" s="14" t="s">
        <v>31</v>
      </c>
    </row>
    <row r="26" ht="15.75" hidden="1" customHeight="1">
      <c r="A26" s="200" t="s">
        <v>50</v>
      </c>
      <c r="B26" s="252">
        <v>1.216967239E9</v>
      </c>
      <c r="C26" s="252" t="s">
        <v>876</v>
      </c>
      <c r="D26" s="97" t="s">
        <v>877</v>
      </c>
      <c r="E26" s="252">
        <v>3.222114801E9</v>
      </c>
      <c r="F26" s="252" t="s">
        <v>878</v>
      </c>
      <c r="G26" s="252" t="s">
        <v>879</v>
      </c>
      <c r="H26" s="329">
        <v>21.0</v>
      </c>
      <c r="I26" s="102" t="s">
        <v>25</v>
      </c>
      <c r="J26" s="7" t="s">
        <v>26</v>
      </c>
      <c r="K26" s="60" t="s">
        <v>89</v>
      </c>
      <c r="L26" s="11" t="s">
        <v>28</v>
      </c>
      <c r="M26" s="12" t="s">
        <v>61</v>
      </c>
      <c r="N26" s="12" t="s">
        <v>62</v>
      </c>
      <c r="O26" s="330">
        <v>45749.0</v>
      </c>
      <c r="P26" s="59">
        <f t="shared" si="4"/>
        <v>45809</v>
      </c>
      <c r="Q26" s="11" t="s">
        <v>880</v>
      </c>
      <c r="R26" s="24" t="s">
        <v>31</v>
      </c>
      <c r="S26" s="315">
        <v>1623500.0</v>
      </c>
      <c r="T26" s="315">
        <v>811750.0</v>
      </c>
      <c r="U26" s="14" t="s">
        <v>31</v>
      </c>
    </row>
    <row r="27" ht="15.75" hidden="1" customHeight="1">
      <c r="A27" s="200" t="s">
        <v>50</v>
      </c>
      <c r="B27" s="252">
        <v>1.19345847E9</v>
      </c>
      <c r="C27" s="252" t="s">
        <v>881</v>
      </c>
      <c r="D27" s="248">
        <v>36980.0</v>
      </c>
      <c r="E27" s="243">
        <v>3.144661531E9</v>
      </c>
      <c r="F27" s="252" t="s">
        <v>882</v>
      </c>
      <c r="G27" s="252" t="s">
        <v>883</v>
      </c>
      <c r="H27" s="289">
        <f t="shared" ref="H27:H46" si="5">(YEAR(NOW())-YEAR(D27))</f>
        <v>25</v>
      </c>
      <c r="I27" s="102" t="s">
        <v>25</v>
      </c>
      <c r="J27" s="7" t="s">
        <v>26</v>
      </c>
      <c r="K27" s="60" t="s">
        <v>89</v>
      </c>
      <c r="L27" s="11" t="s">
        <v>28</v>
      </c>
      <c r="M27" s="12" t="s">
        <v>61</v>
      </c>
      <c r="N27" s="12" t="s">
        <v>62</v>
      </c>
      <c r="O27" s="330">
        <v>45754.0</v>
      </c>
      <c r="P27" s="59">
        <f t="shared" si="4"/>
        <v>45814</v>
      </c>
      <c r="Q27" s="22">
        <v>45782.0</v>
      </c>
      <c r="R27" s="24" t="s">
        <v>31</v>
      </c>
      <c r="S27" s="145">
        <v>1623500.0</v>
      </c>
      <c r="T27" s="213">
        <v>811750.0</v>
      </c>
      <c r="U27" s="24" t="s">
        <v>31</v>
      </c>
    </row>
    <row r="28" ht="15.75" hidden="1" customHeight="1">
      <c r="A28" s="294" t="s">
        <v>21</v>
      </c>
      <c r="B28" s="276">
        <v>4975097.0</v>
      </c>
      <c r="C28" s="277" t="s">
        <v>612</v>
      </c>
      <c r="D28" s="80">
        <v>38927.0</v>
      </c>
      <c r="E28" s="245">
        <v>3.017050073E9</v>
      </c>
      <c r="F28" s="276" t="s">
        <v>884</v>
      </c>
      <c r="G28" s="277" t="s">
        <v>480</v>
      </c>
      <c r="H28" s="199">
        <f t="shared" si="5"/>
        <v>20</v>
      </c>
      <c r="I28" s="102" t="s">
        <v>25</v>
      </c>
      <c r="J28" s="7" t="s">
        <v>351</v>
      </c>
      <c r="K28" s="63" t="s">
        <v>89</v>
      </c>
      <c r="L28" s="7" t="s">
        <v>73</v>
      </c>
      <c r="M28" s="12" t="s">
        <v>61</v>
      </c>
      <c r="N28" s="12" t="s">
        <v>62</v>
      </c>
      <c r="O28" s="307">
        <v>45488.0</v>
      </c>
      <c r="P28" s="69">
        <f t="shared" si="4"/>
        <v>45548</v>
      </c>
      <c r="Q28" s="22">
        <v>45870.0</v>
      </c>
      <c r="R28" s="24" t="s">
        <v>31</v>
      </c>
      <c r="S28" s="297">
        <v>1462000.0</v>
      </c>
      <c r="T28" s="297">
        <v>731000.0</v>
      </c>
      <c r="U28" s="14" t="s">
        <v>31</v>
      </c>
    </row>
    <row r="29" ht="15.75" hidden="1" customHeight="1">
      <c r="A29" s="67" t="s">
        <v>50</v>
      </c>
      <c r="B29" s="64">
        <v>1.001287309E9</v>
      </c>
      <c r="C29" s="63" t="s">
        <v>885</v>
      </c>
      <c r="D29" s="65">
        <v>37240.0</v>
      </c>
      <c r="E29" s="63">
        <v>3.21231584E9</v>
      </c>
      <c r="F29" s="66" t="s">
        <v>886</v>
      </c>
      <c r="G29" s="63" t="s">
        <v>887</v>
      </c>
      <c r="H29" s="199">
        <f t="shared" si="5"/>
        <v>25</v>
      </c>
      <c r="I29" s="62" t="s">
        <v>67</v>
      </c>
      <c r="J29" s="7" t="s">
        <v>351</v>
      </c>
      <c r="K29" s="63" t="s">
        <v>89</v>
      </c>
      <c r="L29" s="7" t="s">
        <v>28</v>
      </c>
      <c r="M29" s="12" t="s">
        <v>61</v>
      </c>
      <c r="N29" s="12" t="s">
        <v>62</v>
      </c>
      <c r="O29" s="68">
        <v>45244.0</v>
      </c>
      <c r="P29" s="110">
        <f t="shared" si="4"/>
        <v>45304</v>
      </c>
      <c r="Q29" s="11" t="s">
        <v>888</v>
      </c>
      <c r="R29" s="24" t="s">
        <v>31</v>
      </c>
      <c r="S29" s="331" t="s">
        <v>63</v>
      </c>
      <c r="T29" s="332" t="s">
        <v>63</v>
      </c>
      <c r="U29" s="14" t="s">
        <v>31</v>
      </c>
    </row>
    <row r="30" ht="15.75" hidden="1" customHeight="1">
      <c r="A30" s="294" t="s">
        <v>50</v>
      </c>
      <c r="B30" s="255">
        <v>1.002422206E9</v>
      </c>
      <c r="C30" s="294" t="s">
        <v>889</v>
      </c>
      <c r="D30" s="306">
        <v>36422.0</v>
      </c>
      <c r="E30" s="294">
        <v>3.205745464E9</v>
      </c>
      <c r="F30" s="255" t="s">
        <v>890</v>
      </c>
      <c r="G30" s="294" t="s">
        <v>891</v>
      </c>
      <c r="H30" s="199">
        <f t="shared" si="5"/>
        <v>27</v>
      </c>
      <c r="I30" s="62" t="s">
        <v>67</v>
      </c>
      <c r="J30" s="7" t="s">
        <v>351</v>
      </c>
      <c r="K30" s="63" t="s">
        <v>89</v>
      </c>
      <c r="L30" s="7" t="s">
        <v>28</v>
      </c>
      <c r="M30" s="12" t="s">
        <v>61</v>
      </c>
      <c r="N30" s="12" t="s">
        <v>62</v>
      </c>
      <c r="O30" s="307">
        <v>45336.0</v>
      </c>
      <c r="P30" s="69">
        <f t="shared" si="4"/>
        <v>45396</v>
      </c>
      <c r="Q30" s="22">
        <v>45545.0</v>
      </c>
      <c r="R30" s="24" t="s">
        <v>31</v>
      </c>
      <c r="S30" s="297" t="s">
        <v>63</v>
      </c>
      <c r="T30" s="297" t="s">
        <v>63</v>
      </c>
      <c r="U30" s="14" t="s">
        <v>31</v>
      </c>
    </row>
    <row r="31" ht="15.75" hidden="1" customHeight="1">
      <c r="A31" s="117" t="s">
        <v>115</v>
      </c>
      <c r="B31" s="117">
        <v>2.8724692E7</v>
      </c>
      <c r="C31" s="52" t="s">
        <v>892</v>
      </c>
      <c r="D31" s="69">
        <v>37841.0</v>
      </c>
      <c r="E31" s="67">
        <v>3.143100828E9</v>
      </c>
      <c r="F31" s="107" t="s">
        <v>893</v>
      </c>
      <c r="G31" s="67" t="s">
        <v>444</v>
      </c>
      <c r="H31" s="181">
        <f t="shared" si="5"/>
        <v>23</v>
      </c>
      <c r="I31" s="102" t="s">
        <v>25</v>
      </c>
      <c r="J31" s="7" t="s">
        <v>351</v>
      </c>
      <c r="K31" s="63" t="s">
        <v>89</v>
      </c>
      <c r="L31" s="7" t="s">
        <v>28</v>
      </c>
      <c r="M31" s="12" t="s">
        <v>61</v>
      </c>
      <c r="N31" s="12" t="s">
        <v>62</v>
      </c>
      <c r="O31" s="110">
        <v>45310.0</v>
      </c>
      <c r="P31" s="69">
        <f t="shared" si="4"/>
        <v>45370</v>
      </c>
      <c r="Q31" s="13">
        <v>45351.0</v>
      </c>
      <c r="R31" s="24" t="s">
        <v>31</v>
      </c>
      <c r="S31" s="142">
        <v>1462000.0</v>
      </c>
      <c r="T31" s="299">
        <v>731000.0</v>
      </c>
      <c r="U31" s="14" t="s">
        <v>31</v>
      </c>
    </row>
    <row r="32" ht="15.75" hidden="1" customHeight="1">
      <c r="A32" s="67" t="s">
        <v>21</v>
      </c>
      <c r="B32" s="107">
        <v>5310376.0</v>
      </c>
      <c r="C32" s="67" t="s">
        <v>894</v>
      </c>
      <c r="D32" s="69">
        <v>34370.0</v>
      </c>
      <c r="E32" s="67">
        <v>3.123539752E9</v>
      </c>
      <c r="F32" s="107" t="s">
        <v>895</v>
      </c>
      <c r="G32" s="67" t="s">
        <v>875</v>
      </c>
      <c r="H32" s="63">
        <f t="shared" si="5"/>
        <v>32</v>
      </c>
      <c r="I32" s="102" t="s">
        <v>25</v>
      </c>
      <c r="J32" s="7" t="s">
        <v>351</v>
      </c>
      <c r="K32" s="63" t="s">
        <v>89</v>
      </c>
      <c r="L32" s="7" t="s">
        <v>28</v>
      </c>
      <c r="M32" s="12" t="s">
        <v>61</v>
      </c>
      <c r="N32" s="12" t="s">
        <v>62</v>
      </c>
      <c r="O32" s="110">
        <v>45299.0</v>
      </c>
      <c r="P32" s="69">
        <f t="shared" si="4"/>
        <v>45359</v>
      </c>
      <c r="Q32" s="13">
        <v>45352.0</v>
      </c>
      <c r="R32" s="24" t="s">
        <v>31</v>
      </c>
      <c r="S32" s="142">
        <v>1462000.0</v>
      </c>
      <c r="T32" s="299">
        <v>731000.0</v>
      </c>
      <c r="U32" s="14" t="s">
        <v>31</v>
      </c>
    </row>
    <row r="33" ht="15.75" hidden="1" customHeight="1">
      <c r="A33" s="52" t="s">
        <v>50</v>
      </c>
      <c r="B33" s="117">
        <v>1.030711924E9</v>
      </c>
      <c r="C33" s="52" t="s">
        <v>896</v>
      </c>
      <c r="D33" s="308">
        <v>38827.0</v>
      </c>
      <c r="E33" s="52">
        <v>3.214906218E9</v>
      </c>
      <c r="F33" s="117" t="s">
        <v>897</v>
      </c>
      <c r="G33" s="52" t="s">
        <v>898</v>
      </c>
      <c r="H33" s="161">
        <f t="shared" si="5"/>
        <v>20</v>
      </c>
      <c r="I33" s="62" t="s">
        <v>67</v>
      </c>
      <c r="J33" s="7" t="s">
        <v>351</v>
      </c>
      <c r="K33" s="63" t="s">
        <v>89</v>
      </c>
      <c r="L33" s="7" t="s">
        <v>28</v>
      </c>
      <c r="M33" s="12" t="s">
        <v>61</v>
      </c>
      <c r="N33" s="12" t="s">
        <v>62</v>
      </c>
      <c r="O33" s="110">
        <v>45281.0</v>
      </c>
      <c r="P33" s="69">
        <f t="shared" si="4"/>
        <v>45341</v>
      </c>
      <c r="Q33" s="13">
        <v>45327.0</v>
      </c>
      <c r="R33" s="24" t="s">
        <v>31</v>
      </c>
      <c r="S33" s="142">
        <v>1300000.0</v>
      </c>
      <c r="T33" s="299">
        <v>650000.0</v>
      </c>
      <c r="U33" s="14" t="s">
        <v>31</v>
      </c>
    </row>
    <row r="34" ht="15.75" hidden="1" customHeight="1">
      <c r="A34" s="67" t="s">
        <v>50</v>
      </c>
      <c r="B34" s="107">
        <v>1.012404275E9</v>
      </c>
      <c r="C34" s="67" t="s">
        <v>899</v>
      </c>
      <c r="D34" s="69">
        <v>34269.0</v>
      </c>
      <c r="E34" s="277">
        <v>3.028137209E9</v>
      </c>
      <c r="F34" s="276" t="s">
        <v>900</v>
      </c>
      <c r="G34" s="277" t="s">
        <v>901</v>
      </c>
      <c r="H34" s="199">
        <f t="shared" si="5"/>
        <v>33</v>
      </c>
      <c r="I34" s="102" t="s">
        <v>25</v>
      </c>
      <c r="J34" s="7" t="s">
        <v>351</v>
      </c>
      <c r="K34" s="199" t="s">
        <v>89</v>
      </c>
      <c r="L34" s="7" t="s">
        <v>28</v>
      </c>
      <c r="M34" s="12" t="s">
        <v>61</v>
      </c>
      <c r="N34" s="12" t="s">
        <v>62</v>
      </c>
      <c r="O34" s="296">
        <v>45407.0</v>
      </c>
      <c r="P34" s="295">
        <f t="shared" si="4"/>
        <v>45467</v>
      </c>
      <c r="Q34" s="13">
        <v>45493.0</v>
      </c>
      <c r="R34" s="24" t="s">
        <v>31</v>
      </c>
      <c r="S34" s="142">
        <v>1462000.0</v>
      </c>
      <c r="T34" s="142">
        <v>731000.0</v>
      </c>
      <c r="U34" s="14" t="s">
        <v>31</v>
      </c>
    </row>
    <row r="35" ht="15.75" hidden="1" customHeight="1">
      <c r="A35" s="52" t="s">
        <v>21</v>
      </c>
      <c r="B35" s="30">
        <v>7852793.0</v>
      </c>
      <c r="C35" s="29" t="s">
        <v>902</v>
      </c>
      <c r="D35" s="313">
        <v>31915.0</v>
      </c>
      <c r="E35" s="29">
        <v>3.20937871E9</v>
      </c>
      <c r="F35" s="30" t="s">
        <v>903</v>
      </c>
      <c r="G35" s="312" t="s">
        <v>904</v>
      </c>
      <c r="H35" s="161">
        <f t="shared" si="5"/>
        <v>39</v>
      </c>
      <c r="I35" s="62" t="s">
        <v>67</v>
      </c>
      <c r="J35" s="7" t="s">
        <v>351</v>
      </c>
      <c r="K35" s="63" t="s">
        <v>89</v>
      </c>
      <c r="L35" s="7" t="s">
        <v>28</v>
      </c>
      <c r="M35" s="12" t="s">
        <v>61</v>
      </c>
      <c r="N35" s="12" t="s">
        <v>62</v>
      </c>
      <c r="O35" s="296">
        <v>45305.0</v>
      </c>
      <c r="P35" s="69">
        <f t="shared" si="4"/>
        <v>45365</v>
      </c>
      <c r="Q35" s="13">
        <v>45356.0</v>
      </c>
      <c r="R35" s="24" t="s">
        <v>31</v>
      </c>
      <c r="S35" s="142">
        <v>1462000.0</v>
      </c>
      <c r="T35" s="299">
        <v>731000.0</v>
      </c>
      <c r="U35" s="14" t="s">
        <v>31</v>
      </c>
    </row>
    <row r="36" ht="15.75" hidden="1" customHeight="1">
      <c r="A36" s="243" t="s">
        <v>21</v>
      </c>
      <c r="B36" s="238">
        <v>6486817.0</v>
      </c>
      <c r="C36" s="245" t="s">
        <v>809</v>
      </c>
      <c r="D36" s="333">
        <v>36433.0</v>
      </c>
      <c r="E36" s="245">
        <v>3.223092205E9</v>
      </c>
      <c r="F36" s="238" t="s">
        <v>810</v>
      </c>
      <c r="G36" s="238" t="s">
        <v>811</v>
      </c>
      <c r="H36" s="150">
        <f t="shared" si="5"/>
        <v>27</v>
      </c>
      <c r="I36" s="102" t="s">
        <v>25</v>
      </c>
      <c r="J36" s="7" t="s">
        <v>35</v>
      </c>
      <c r="K36" s="11" t="s">
        <v>36</v>
      </c>
      <c r="L36" s="7" t="s">
        <v>48</v>
      </c>
      <c r="M36" s="12" t="s">
        <v>61</v>
      </c>
      <c r="N36" s="12" t="s">
        <v>62</v>
      </c>
      <c r="O36" s="328">
        <v>45388.0</v>
      </c>
      <c r="P36" s="108">
        <f t="shared" si="4"/>
        <v>45448</v>
      </c>
      <c r="Q36" s="22">
        <v>45841.0</v>
      </c>
      <c r="R36" s="24" t="s">
        <v>31</v>
      </c>
      <c r="S36" s="145">
        <v>1423500.0</v>
      </c>
      <c r="T36" s="145">
        <v>711750.0</v>
      </c>
      <c r="U36" s="14" t="s">
        <v>31</v>
      </c>
    </row>
    <row r="37" ht="15.75" hidden="1" customHeight="1">
      <c r="A37" s="255" t="s">
        <v>115</v>
      </c>
      <c r="B37" s="276">
        <v>1.1455466E7</v>
      </c>
      <c r="C37" s="277" t="s">
        <v>905</v>
      </c>
      <c r="D37" s="295">
        <v>26502.0</v>
      </c>
      <c r="E37" s="277">
        <v>3.123101668E9</v>
      </c>
      <c r="F37" s="276" t="s">
        <v>906</v>
      </c>
      <c r="G37" s="277" t="s">
        <v>907</v>
      </c>
      <c r="H37" s="199">
        <f t="shared" si="5"/>
        <v>54</v>
      </c>
      <c r="I37" s="102" t="s">
        <v>25</v>
      </c>
      <c r="J37" s="7" t="s">
        <v>351</v>
      </c>
      <c r="K37" s="63" t="s">
        <v>89</v>
      </c>
      <c r="L37" s="7" t="s">
        <v>28</v>
      </c>
      <c r="M37" s="12" t="s">
        <v>61</v>
      </c>
      <c r="N37" s="12" t="s">
        <v>62</v>
      </c>
      <c r="O37" s="296">
        <v>45264.0</v>
      </c>
      <c r="P37" s="69">
        <f t="shared" si="4"/>
        <v>45324</v>
      </c>
      <c r="Q37" s="13">
        <v>45327.0</v>
      </c>
      <c r="R37" s="24" t="s">
        <v>31</v>
      </c>
      <c r="S37" s="142">
        <v>1462000.0</v>
      </c>
      <c r="T37" s="142">
        <v>731000.0</v>
      </c>
      <c r="U37" s="14" t="s">
        <v>31</v>
      </c>
    </row>
    <row r="38" ht="15.75" hidden="1" customHeight="1">
      <c r="A38" s="294" t="s">
        <v>50</v>
      </c>
      <c r="B38" s="276">
        <v>1.002728932E9</v>
      </c>
      <c r="C38" s="277" t="s">
        <v>908</v>
      </c>
      <c r="D38" s="295">
        <v>36933.0</v>
      </c>
      <c r="E38" s="277">
        <v>3.224840682E9</v>
      </c>
      <c r="F38" s="276" t="s">
        <v>909</v>
      </c>
      <c r="G38" s="277" t="s">
        <v>910</v>
      </c>
      <c r="H38" s="199">
        <f t="shared" si="5"/>
        <v>25</v>
      </c>
      <c r="I38" s="62" t="s">
        <v>67</v>
      </c>
      <c r="J38" s="7" t="s">
        <v>351</v>
      </c>
      <c r="K38" s="63" t="s">
        <v>89</v>
      </c>
      <c r="L38" s="7" t="s">
        <v>28</v>
      </c>
      <c r="M38" s="12" t="s">
        <v>61</v>
      </c>
      <c r="N38" s="12" t="s">
        <v>62</v>
      </c>
      <c r="O38" s="296">
        <v>44939.0</v>
      </c>
      <c r="P38" s="334">
        <f t="shared" si="4"/>
        <v>44999</v>
      </c>
      <c r="Q38" s="13">
        <v>45351.0</v>
      </c>
      <c r="R38" s="24" t="s">
        <v>31</v>
      </c>
      <c r="S38" s="142">
        <v>1462000.0</v>
      </c>
      <c r="T38" s="142">
        <v>731000.0</v>
      </c>
      <c r="U38" s="14" t="s">
        <v>31</v>
      </c>
    </row>
    <row r="39" ht="15.75" hidden="1" customHeight="1">
      <c r="A39" s="294" t="s">
        <v>21</v>
      </c>
      <c r="B39" s="276">
        <v>5065612.0</v>
      </c>
      <c r="C39" s="277" t="s">
        <v>911</v>
      </c>
      <c r="D39" s="306">
        <v>32493.0</v>
      </c>
      <c r="E39" s="277">
        <v>3.205456993E9</v>
      </c>
      <c r="F39" s="276" t="s">
        <v>912</v>
      </c>
      <c r="G39" s="277" t="s">
        <v>913</v>
      </c>
      <c r="H39" s="199">
        <f t="shared" si="5"/>
        <v>38</v>
      </c>
      <c r="I39" s="62" t="s">
        <v>67</v>
      </c>
      <c r="J39" s="7" t="s">
        <v>351</v>
      </c>
      <c r="K39" s="199" t="s">
        <v>89</v>
      </c>
      <c r="L39" s="7" t="s">
        <v>28</v>
      </c>
      <c r="M39" s="12" t="s">
        <v>61</v>
      </c>
      <c r="N39" s="12" t="s">
        <v>62</v>
      </c>
      <c r="O39" s="335">
        <v>45278.0</v>
      </c>
      <c r="P39" s="295">
        <f t="shared" si="4"/>
        <v>45338</v>
      </c>
      <c r="Q39" s="13">
        <v>45351.0</v>
      </c>
      <c r="R39" s="24" t="s">
        <v>31</v>
      </c>
      <c r="S39" s="297">
        <v>1462000.0</v>
      </c>
      <c r="T39" s="297">
        <v>731000.0</v>
      </c>
      <c r="U39" s="14" t="s">
        <v>31</v>
      </c>
    </row>
    <row r="40" ht="15.75" hidden="1" customHeight="1">
      <c r="A40" s="200" t="s">
        <v>50</v>
      </c>
      <c r="B40" s="238" t="s">
        <v>914</v>
      </c>
      <c r="C40" s="238" t="s">
        <v>915</v>
      </c>
      <c r="D40" s="254">
        <v>37551.0</v>
      </c>
      <c r="E40" s="238">
        <v>3.114816195E9</v>
      </c>
      <c r="F40" s="238" t="s">
        <v>916</v>
      </c>
      <c r="G40" s="238" t="s">
        <v>659</v>
      </c>
      <c r="H40" s="199">
        <f t="shared" si="5"/>
        <v>24</v>
      </c>
      <c r="I40" s="102" t="s">
        <v>25</v>
      </c>
      <c r="J40" s="7" t="s">
        <v>26</v>
      </c>
      <c r="K40" s="60" t="s">
        <v>89</v>
      </c>
      <c r="L40" s="11" t="s">
        <v>73</v>
      </c>
      <c r="M40" s="12" t="s">
        <v>61</v>
      </c>
      <c r="N40" s="12" t="s">
        <v>62</v>
      </c>
      <c r="O40" s="98">
        <v>45828.0</v>
      </c>
      <c r="P40" s="17">
        <f t="shared" si="4"/>
        <v>45888</v>
      </c>
      <c r="Q40" s="22">
        <v>45695.0</v>
      </c>
      <c r="R40" s="24" t="s">
        <v>31</v>
      </c>
      <c r="S40" s="315">
        <v>1623500.0</v>
      </c>
      <c r="T40" s="315">
        <v>811750.0</v>
      </c>
      <c r="U40" s="14" t="s">
        <v>31</v>
      </c>
    </row>
    <row r="41" ht="15.75" hidden="1" customHeight="1">
      <c r="A41" s="336" t="s">
        <v>21</v>
      </c>
      <c r="B41" s="337" t="s">
        <v>917</v>
      </c>
      <c r="C41" s="238" t="s">
        <v>918</v>
      </c>
      <c r="D41" s="254">
        <v>38134.0</v>
      </c>
      <c r="E41" s="238">
        <v>3.204339792E9</v>
      </c>
      <c r="F41" s="238" t="s">
        <v>919</v>
      </c>
      <c r="G41" s="238" t="s">
        <v>920</v>
      </c>
      <c r="H41" s="199">
        <f t="shared" si="5"/>
        <v>22</v>
      </c>
      <c r="I41" s="102" t="s">
        <v>25</v>
      </c>
      <c r="J41" s="7" t="s">
        <v>26</v>
      </c>
      <c r="K41" s="60" t="s">
        <v>89</v>
      </c>
      <c r="L41" s="11" t="s">
        <v>28</v>
      </c>
      <c r="M41" s="12" t="s">
        <v>61</v>
      </c>
      <c r="N41" s="12" t="s">
        <v>62</v>
      </c>
      <c r="O41" s="98">
        <v>45841.0</v>
      </c>
      <c r="P41" s="59">
        <f t="shared" si="4"/>
        <v>45901</v>
      </c>
      <c r="Q41" s="11" t="s">
        <v>921</v>
      </c>
      <c r="R41" s="24" t="s">
        <v>31</v>
      </c>
      <c r="S41" s="315">
        <v>1623500.0</v>
      </c>
      <c r="T41" s="315">
        <v>811750.0</v>
      </c>
      <c r="U41" s="14" t="s">
        <v>31</v>
      </c>
    </row>
    <row r="42" ht="15.75" hidden="1" customHeight="1">
      <c r="A42" s="148" t="s">
        <v>115</v>
      </c>
      <c r="B42" s="147">
        <v>2.7378517E7</v>
      </c>
      <c r="C42" s="338" t="s">
        <v>922</v>
      </c>
      <c r="D42" s="316">
        <v>35274.0</v>
      </c>
      <c r="E42" s="238">
        <v>3.213110807E9</v>
      </c>
      <c r="F42" s="173" t="s">
        <v>923</v>
      </c>
      <c r="G42" s="173" t="s">
        <v>924</v>
      </c>
      <c r="H42" s="199">
        <f t="shared" si="5"/>
        <v>30</v>
      </c>
      <c r="I42" s="339" t="s">
        <v>25</v>
      </c>
      <c r="J42" s="95" t="s">
        <v>26</v>
      </c>
      <c r="K42" s="79" t="s">
        <v>89</v>
      </c>
      <c r="L42" s="261" t="s">
        <v>73</v>
      </c>
      <c r="M42" s="52" t="s">
        <v>61</v>
      </c>
      <c r="N42" s="52" t="s">
        <v>62</v>
      </c>
      <c r="O42" s="187">
        <v>45854.0</v>
      </c>
      <c r="P42" s="59">
        <f t="shared" si="4"/>
        <v>45914</v>
      </c>
      <c r="Q42" s="22">
        <v>45939.0</v>
      </c>
      <c r="R42" s="24" t="s">
        <v>31</v>
      </c>
      <c r="S42" s="273">
        <v>1423500.0</v>
      </c>
      <c r="T42" s="273">
        <v>711750.0</v>
      </c>
      <c r="U42" s="24" t="s">
        <v>31</v>
      </c>
    </row>
    <row r="43" ht="15.75" hidden="1" customHeight="1">
      <c r="A43" s="200" t="s">
        <v>267</v>
      </c>
      <c r="B43" s="193">
        <v>3.0211028E7</v>
      </c>
      <c r="C43" s="196" t="s">
        <v>708</v>
      </c>
      <c r="D43" s="260">
        <v>36857.0</v>
      </c>
      <c r="E43" s="196">
        <v>3.2324953E9</v>
      </c>
      <c r="F43" s="196" t="s">
        <v>709</v>
      </c>
      <c r="G43" s="196" t="s">
        <v>710</v>
      </c>
      <c r="H43" s="199">
        <f t="shared" si="5"/>
        <v>26</v>
      </c>
      <c r="I43" s="102" t="s">
        <v>25</v>
      </c>
      <c r="J43" s="7" t="s">
        <v>26</v>
      </c>
      <c r="K43" s="7" t="s">
        <v>89</v>
      </c>
      <c r="L43" s="149" t="s">
        <v>48</v>
      </c>
      <c r="M43" s="12" t="s">
        <v>61</v>
      </c>
      <c r="N43" s="12" t="s">
        <v>62</v>
      </c>
      <c r="O43" s="268">
        <v>45922.0</v>
      </c>
      <c r="P43" s="59">
        <f t="shared" si="4"/>
        <v>45982</v>
      </c>
      <c r="Q43" s="11" t="s">
        <v>925</v>
      </c>
      <c r="R43" s="24" t="s">
        <v>31</v>
      </c>
      <c r="S43" s="273">
        <v>1623500.0</v>
      </c>
      <c r="T43" s="273">
        <v>811750.0</v>
      </c>
      <c r="U43" s="36" t="s">
        <v>229</v>
      </c>
    </row>
    <row r="44" ht="15.75" hidden="1" customHeight="1">
      <c r="A44" s="200" t="s">
        <v>50</v>
      </c>
      <c r="B44" s="219">
        <v>1.148962433E9</v>
      </c>
      <c r="C44" s="238" t="s">
        <v>926</v>
      </c>
      <c r="D44" s="316">
        <v>36439.0</v>
      </c>
      <c r="E44" s="238">
        <v>3.02479599E9</v>
      </c>
      <c r="F44" s="238" t="s">
        <v>927</v>
      </c>
      <c r="G44" s="238" t="s">
        <v>928</v>
      </c>
      <c r="H44" s="199">
        <f t="shared" si="5"/>
        <v>27</v>
      </c>
      <c r="I44" s="339" t="s">
        <v>25</v>
      </c>
      <c r="J44" s="95" t="s">
        <v>26</v>
      </c>
      <c r="K44" s="79" t="s">
        <v>89</v>
      </c>
      <c r="L44" s="11" t="s">
        <v>28</v>
      </c>
      <c r="M44" s="52" t="s">
        <v>61</v>
      </c>
      <c r="N44" s="52" t="s">
        <v>62</v>
      </c>
      <c r="O44" s="112">
        <v>45897.0</v>
      </c>
      <c r="P44" s="59">
        <f t="shared" si="4"/>
        <v>45957</v>
      </c>
      <c r="Q44" s="22">
        <v>45909.0</v>
      </c>
      <c r="R44" s="24" t="s">
        <v>31</v>
      </c>
      <c r="S44" s="273">
        <v>1423500.0</v>
      </c>
      <c r="T44" s="273">
        <v>711750.0</v>
      </c>
      <c r="U44" s="36" t="s">
        <v>929</v>
      </c>
    </row>
    <row r="45" ht="15.75" hidden="1" customHeight="1">
      <c r="A45" s="49" t="s">
        <v>50</v>
      </c>
      <c r="B45" s="129">
        <v>1.104937403E9</v>
      </c>
      <c r="C45" s="49" t="s">
        <v>930</v>
      </c>
      <c r="D45" s="166">
        <v>38157.0</v>
      </c>
      <c r="E45" s="49">
        <v>3.01854864E9</v>
      </c>
      <c r="F45" s="49" t="s">
        <v>931</v>
      </c>
      <c r="G45" s="49" t="s">
        <v>476</v>
      </c>
      <c r="H45" s="7">
        <f t="shared" si="5"/>
        <v>22</v>
      </c>
      <c r="I45" s="12" t="s">
        <v>25</v>
      </c>
      <c r="J45" s="7" t="s">
        <v>26</v>
      </c>
      <c r="K45" s="7" t="s">
        <v>89</v>
      </c>
      <c r="L45" s="11" t="s">
        <v>28</v>
      </c>
      <c r="M45" s="12" t="s">
        <v>61</v>
      </c>
      <c r="N45" s="12" t="s">
        <v>62</v>
      </c>
      <c r="O45" s="46">
        <v>45870.0</v>
      </c>
      <c r="P45" s="17">
        <f t="shared" ref="P45:P46" si="6">O45+90</f>
        <v>45960</v>
      </c>
      <c r="Q45" s="22">
        <v>45878.0</v>
      </c>
      <c r="R45" s="24" t="s">
        <v>31</v>
      </c>
      <c r="S45" s="100">
        <v>1623500.0</v>
      </c>
      <c r="T45" s="100">
        <v>811750.0</v>
      </c>
      <c r="U45" s="24" t="s">
        <v>31</v>
      </c>
    </row>
    <row r="46" ht="15.75" hidden="1" customHeight="1">
      <c r="A46" s="49" t="s">
        <v>50</v>
      </c>
      <c r="B46" s="129">
        <v>1.000133684E9</v>
      </c>
      <c r="C46" s="49" t="s">
        <v>474</v>
      </c>
      <c r="D46" s="166">
        <v>37861.0</v>
      </c>
      <c r="E46" s="49">
        <v>3.104706231E9</v>
      </c>
      <c r="F46" s="49" t="s">
        <v>475</v>
      </c>
      <c r="G46" s="49" t="s">
        <v>476</v>
      </c>
      <c r="H46" s="7">
        <f t="shared" si="5"/>
        <v>23</v>
      </c>
      <c r="I46" s="12" t="s">
        <v>67</v>
      </c>
      <c r="J46" s="7" t="s">
        <v>26</v>
      </c>
      <c r="K46" s="7" t="s">
        <v>89</v>
      </c>
      <c r="L46" s="7" t="s">
        <v>48</v>
      </c>
      <c r="M46" s="12" t="s">
        <v>61</v>
      </c>
      <c r="N46" s="12" t="s">
        <v>62</v>
      </c>
      <c r="O46" s="46">
        <v>45870.0</v>
      </c>
      <c r="P46" s="17">
        <f t="shared" si="6"/>
        <v>45960</v>
      </c>
      <c r="Q46" s="22">
        <v>45940.0</v>
      </c>
      <c r="R46" s="24" t="s">
        <v>31</v>
      </c>
      <c r="S46" s="100">
        <v>1623500.0</v>
      </c>
      <c r="T46" s="100">
        <v>811750.0</v>
      </c>
      <c r="U46" s="36" t="s">
        <v>477</v>
      </c>
    </row>
    <row r="47" ht="15.75" hidden="1" customHeight="1">
      <c r="A47" s="340" t="s">
        <v>50</v>
      </c>
      <c r="B47" s="219">
        <v>1.015453296E9</v>
      </c>
      <c r="C47" s="264" t="s">
        <v>932</v>
      </c>
      <c r="D47" s="341">
        <v>34804.0</v>
      </c>
      <c r="E47" s="262">
        <v>3.246245517E9</v>
      </c>
      <c r="F47" s="262" t="s">
        <v>933</v>
      </c>
      <c r="G47" s="262" t="s">
        <v>934</v>
      </c>
      <c r="H47" s="150">
        <v>30.0</v>
      </c>
      <c r="I47" s="12" t="s">
        <v>67</v>
      </c>
      <c r="J47" s="7" t="s">
        <v>26</v>
      </c>
      <c r="K47" s="7" t="s">
        <v>89</v>
      </c>
      <c r="L47" s="11" t="s">
        <v>28</v>
      </c>
      <c r="M47" s="12" t="s">
        <v>61</v>
      </c>
      <c r="N47" s="12" t="s">
        <v>62</v>
      </c>
      <c r="O47" s="46">
        <v>45909.0</v>
      </c>
      <c r="P47" s="59">
        <f t="shared" ref="P47:P52" si="7">O47+60</f>
        <v>45969</v>
      </c>
      <c r="Q47" s="11" t="s">
        <v>935</v>
      </c>
      <c r="R47" s="24" t="s">
        <v>31</v>
      </c>
      <c r="S47" s="100">
        <v>1623500.0</v>
      </c>
      <c r="T47" s="100">
        <v>811750.0</v>
      </c>
      <c r="U47" s="24" t="s">
        <v>31</v>
      </c>
    </row>
    <row r="48" ht="15.75" hidden="1" customHeight="1">
      <c r="A48" s="49" t="s">
        <v>267</v>
      </c>
      <c r="B48" s="129">
        <v>3.1457393E7</v>
      </c>
      <c r="C48" s="49" t="s">
        <v>936</v>
      </c>
      <c r="D48" s="166">
        <v>38575.0</v>
      </c>
      <c r="E48" s="49">
        <v>3.170189991E9</v>
      </c>
      <c r="F48" s="49" t="s">
        <v>937</v>
      </c>
      <c r="G48" s="49" t="s">
        <v>938</v>
      </c>
      <c r="H48" s="199">
        <f t="shared" ref="H48:H60" si="8">(YEAR(NOW())-YEAR(D48))</f>
        <v>21</v>
      </c>
      <c r="I48" s="102" t="s">
        <v>25</v>
      </c>
      <c r="J48" s="7" t="s">
        <v>26</v>
      </c>
      <c r="K48" s="7" t="s">
        <v>89</v>
      </c>
      <c r="L48" s="261" t="s">
        <v>73</v>
      </c>
      <c r="M48" s="12" t="s">
        <v>61</v>
      </c>
      <c r="N48" s="12" t="s">
        <v>62</v>
      </c>
      <c r="O48" s="46">
        <v>45903.0</v>
      </c>
      <c r="P48" s="59">
        <f t="shared" si="7"/>
        <v>45963</v>
      </c>
      <c r="Q48" s="22">
        <v>45818.0</v>
      </c>
      <c r="R48" s="24" t="s">
        <v>31</v>
      </c>
      <c r="S48" s="273">
        <v>1423500.0</v>
      </c>
      <c r="T48" s="273">
        <v>711750.0</v>
      </c>
      <c r="U48" s="36" t="s">
        <v>229</v>
      </c>
    </row>
    <row r="49" ht="15.75" hidden="1" customHeight="1">
      <c r="A49" s="49" t="s">
        <v>21</v>
      </c>
      <c r="B49" s="129">
        <v>4918793.0</v>
      </c>
      <c r="C49" s="49" t="s">
        <v>939</v>
      </c>
      <c r="D49" s="166">
        <v>38185.0</v>
      </c>
      <c r="E49" s="49">
        <v>3.022079018E9</v>
      </c>
      <c r="F49" s="49" t="s">
        <v>940</v>
      </c>
      <c r="G49" s="49" t="s">
        <v>941</v>
      </c>
      <c r="H49" s="199">
        <f t="shared" si="8"/>
        <v>22</v>
      </c>
      <c r="I49" s="12" t="s">
        <v>67</v>
      </c>
      <c r="J49" s="7" t="s">
        <v>26</v>
      </c>
      <c r="K49" s="7" t="s">
        <v>89</v>
      </c>
      <c r="L49" s="11" t="s">
        <v>28</v>
      </c>
      <c r="M49" s="12" t="s">
        <v>61</v>
      </c>
      <c r="N49" s="12" t="s">
        <v>62</v>
      </c>
      <c r="O49" s="46">
        <v>45925.0</v>
      </c>
      <c r="P49" s="59">
        <f t="shared" si="7"/>
        <v>45985</v>
      </c>
      <c r="Q49" s="22">
        <v>45910.0</v>
      </c>
      <c r="R49" s="24" t="s">
        <v>31</v>
      </c>
      <c r="S49" s="273">
        <v>1423500.0</v>
      </c>
      <c r="T49" s="273">
        <v>711750.0</v>
      </c>
      <c r="U49" s="36" t="s">
        <v>942</v>
      </c>
    </row>
    <row r="50" ht="15.75" hidden="1" customHeight="1">
      <c r="A50" s="49" t="s">
        <v>50</v>
      </c>
      <c r="B50" s="129">
        <v>1.130266566E9</v>
      </c>
      <c r="C50" s="49" t="s">
        <v>943</v>
      </c>
      <c r="D50" s="166">
        <v>38584.0</v>
      </c>
      <c r="E50" s="49">
        <v>3.242772538E9</v>
      </c>
      <c r="F50" s="49" t="s">
        <v>944</v>
      </c>
      <c r="G50" s="49" t="s">
        <v>945</v>
      </c>
      <c r="H50" s="199">
        <f t="shared" si="8"/>
        <v>21</v>
      </c>
      <c r="I50" s="102" t="s">
        <v>25</v>
      </c>
      <c r="J50" s="7" t="s">
        <v>26</v>
      </c>
      <c r="K50" s="7" t="s">
        <v>89</v>
      </c>
      <c r="L50" s="7" t="s">
        <v>48</v>
      </c>
      <c r="M50" s="12" t="s">
        <v>61</v>
      </c>
      <c r="N50" s="12" t="s">
        <v>62</v>
      </c>
      <c r="O50" s="46">
        <v>45925.0</v>
      </c>
      <c r="P50" s="59">
        <f t="shared" si="7"/>
        <v>45985</v>
      </c>
      <c r="Q50" s="22">
        <v>46001.0</v>
      </c>
      <c r="R50" s="24" t="s">
        <v>31</v>
      </c>
      <c r="S50" s="100">
        <v>1623500.0</v>
      </c>
      <c r="T50" s="100">
        <v>811750.0</v>
      </c>
      <c r="U50" s="36" t="s">
        <v>946</v>
      </c>
    </row>
    <row r="51" ht="15.75" hidden="1" customHeight="1">
      <c r="A51" s="200" t="s">
        <v>267</v>
      </c>
      <c r="B51" s="275">
        <v>3.0147014E7</v>
      </c>
      <c r="C51" s="238" t="s">
        <v>352</v>
      </c>
      <c r="D51" s="162">
        <v>37544.0</v>
      </c>
      <c r="E51" s="238">
        <v>3.236595868E9</v>
      </c>
      <c r="F51" s="238" t="s">
        <v>947</v>
      </c>
      <c r="G51" s="238" t="s">
        <v>737</v>
      </c>
      <c r="H51" s="199">
        <f t="shared" si="8"/>
        <v>24</v>
      </c>
      <c r="I51" s="102" t="s">
        <v>25</v>
      </c>
      <c r="J51" s="7" t="s">
        <v>26</v>
      </c>
      <c r="K51" s="7" t="s">
        <v>89</v>
      </c>
      <c r="L51" s="261" t="s">
        <v>73</v>
      </c>
      <c r="M51" s="12" t="s">
        <v>61</v>
      </c>
      <c r="N51" s="12" t="s">
        <v>62</v>
      </c>
      <c r="O51" s="274">
        <v>45968.0</v>
      </c>
      <c r="P51" s="59">
        <f t="shared" si="7"/>
        <v>46028</v>
      </c>
      <c r="Q51" s="11" t="s">
        <v>948</v>
      </c>
      <c r="R51" s="24" t="s">
        <v>31</v>
      </c>
      <c r="S51" s="100">
        <v>1423500.0</v>
      </c>
      <c r="T51" s="100">
        <v>711750.0</v>
      </c>
      <c r="U51" s="36" t="s">
        <v>229</v>
      </c>
    </row>
    <row r="52" ht="15.75" hidden="1" customHeight="1">
      <c r="A52" s="200" t="s">
        <v>50</v>
      </c>
      <c r="B52" s="193">
        <v>1.024608959E9</v>
      </c>
      <c r="C52" s="196" t="s">
        <v>949</v>
      </c>
      <c r="D52" s="166">
        <v>36798.0</v>
      </c>
      <c r="E52" s="196">
        <v>3.232024656E9</v>
      </c>
      <c r="F52" s="196" t="s">
        <v>950</v>
      </c>
      <c r="G52" s="196" t="s">
        <v>951</v>
      </c>
      <c r="H52" s="199">
        <f t="shared" si="8"/>
        <v>26</v>
      </c>
      <c r="I52" s="102" t="s">
        <v>25</v>
      </c>
      <c r="J52" s="95" t="s">
        <v>26</v>
      </c>
      <c r="K52" s="79" t="s">
        <v>89</v>
      </c>
      <c r="L52" s="149" t="s">
        <v>28</v>
      </c>
      <c r="M52" s="52" t="s">
        <v>61</v>
      </c>
      <c r="N52" s="52" t="s">
        <v>62</v>
      </c>
      <c r="O52" s="274">
        <v>45971.0</v>
      </c>
      <c r="P52" s="59">
        <f t="shared" si="7"/>
        <v>46031</v>
      </c>
      <c r="Q52" s="11" t="s">
        <v>952</v>
      </c>
      <c r="R52" s="24" t="s">
        <v>31</v>
      </c>
      <c r="S52" s="273">
        <v>1423500.0</v>
      </c>
      <c r="T52" s="273">
        <v>711750.0</v>
      </c>
      <c r="U52" s="36" t="s">
        <v>504</v>
      </c>
    </row>
    <row r="53" ht="15.75" hidden="1" customHeight="1">
      <c r="A53" s="200" t="s">
        <v>50</v>
      </c>
      <c r="B53" s="275">
        <v>1.016593442E9</v>
      </c>
      <c r="C53" s="238" t="s">
        <v>953</v>
      </c>
      <c r="D53" s="162">
        <v>38242.0</v>
      </c>
      <c r="E53" s="238">
        <v>3.116588055E9</v>
      </c>
      <c r="F53" s="238" t="s">
        <v>954</v>
      </c>
      <c r="G53" s="238" t="s">
        <v>955</v>
      </c>
      <c r="H53" s="79">
        <f t="shared" si="8"/>
        <v>22</v>
      </c>
      <c r="I53" s="12" t="s">
        <v>67</v>
      </c>
      <c r="J53" s="95" t="s">
        <v>26</v>
      </c>
      <c r="K53" s="79" t="s">
        <v>89</v>
      </c>
      <c r="L53" s="149" t="s">
        <v>28</v>
      </c>
      <c r="M53" s="52" t="s">
        <v>61</v>
      </c>
      <c r="N53" s="52" t="s">
        <v>62</v>
      </c>
      <c r="O53" s="274">
        <v>45972.0</v>
      </c>
      <c r="P53" s="285">
        <f>O53+60</f>
        <v>46032</v>
      </c>
      <c r="Q53" s="22">
        <v>45700.0</v>
      </c>
      <c r="R53" s="24" t="s">
        <v>31</v>
      </c>
      <c r="S53" s="315">
        <v>1623500.0</v>
      </c>
      <c r="T53" s="315">
        <v>811750.0</v>
      </c>
      <c r="U53" s="36" t="s">
        <v>956</v>
      </c>
    </row>
    <row r="54" ht="15.75" customHeight="1">
      <c r="A54" s="200" t="s">
        <v>21</v>
      </c>
      <c r="B54" s="193">
        <v>5624857.0</v>
      </c>
      <c r="C54" s="342" t="s">
        <v>957</v>
      </c>
      <c r="D54" s="260">
        <v>34304.0</v>
      </c>
      <c r="E54" s="196">
        <v>3.018982854E9</v>
      </c>
      <c r="F54" s="196" t="s">
        <v>958</v>
      </c>
      <c r="G54" s="196" t="s">
        <v>959</v>
      </c>
      <c r="H54" s="79">
        <f t="shared" si="8"/>
        <v>33</v>
      </c>
      <c r="I54" s="102" t="s">
        <v>67</v>
      </c>
      <c r="J54" s="95" t="s">
        <v>26</v>
      </c>
      <c r="K54" s="79" t="s">
        <v>89</v>
      </c>
      <c r="L54" s="11" t="s">
        <v>48</v>
      </c>
      <c r="M54" s="52" t="s">
        <v>61</v>
      </c>
      <c r="N54" s="52" t="s">
        <v>62</v>
      </c>
      <c r="O54" s="274">
        <v>46063.0</v>
      </c>
      <c r="P54" s="59">
        <f t="shared" ref="P54:P58" si="9">O54+60</f>
        <v>46123</v>
      </c>
      <c r="Q54" s="7"/>
      <c r="R54" s="12" t="s">
        <v>39</v>
      </c>
      <c r="S54" s="100">
        <v>1750905.0</v>
      </c>
      <c r="T54" s="100">
        <f>S54/2</f>
        <v>875452.5</v>
      </c>
      <c r="U54" s="36" t="s">
        <v>960</v>
      </c>
    </row>
    <row r="55" ht="15.75" hidden="1" customHeight="1">
      <c r="A55" s="11" t="s">
        <v>267</v>
      </c>
      <c r="B55" s="129">
        <v>3.0325656E7</v>
      </c>
      <c r="C55" s="343" t="s">
        <v>751</v>
      </c>
      <c r="D55" s="166">
        <v>37943.0</v>
      </c>
      <c r="E55" s="49" t="s">
        <v>961</v>
      </c>
      <c r="F55" s="49" t="s">
        <v>752</v>
      </c>
      <c r="G55" s="49" t="s">
        <v>962</v>
      </c>
      <c r="H55" s="199">
        <f t="shared" si="8"/>
        <v>23</v>
      </c>
      <c r="I55" s="12" t="s">
        <v>25</v>
      </c>
      <c r="J55" s="7" t="s">
        <v>26</v>
      </c>
      <c r="K55" s="7" t="s">
        <v>89</v>
      </c>
      <c r="L55" s="11" t="s">
        <v>28</v>
      </c>
      <c r="M55" s="42" t="s">
        <v>61</v>
      </c>
      <c r="N55" s="42" t="s">
        <v>62</v>
      </c>
      <c r="O55" s="164">
        <v>45929.0</v>
      </c>
      <c r="P55" s="59">
        <f t="shared" si="9"/>
        <v>45989</v>
      </c>
      <c r="Q55" s="22">
        <v>45849.0</v>
      </c>
      <c r="R55" s="24" t="s">
        <v>31</v>
      </c>
      <c r="S55" s="273">
        <v>1423500.0</v>
      </c>
      <c r="T55" s="273">
        <v>711750.0</v>
      </c>
      <c r="U55" s="36" t="s">
        <v>229</v>
      </c>
    </row>
    <row r="56" ht="15.75" hidden="1" customHeight="1">
      <c r="A56" s="11" t="s">
        <v>21</v>
      </c>
      <c r="B56" s="129">
        <v>6345047.0</v>
      </c>
      <c r="C56" s="343" t="s">
        <v>963</v>
      </c>
      <c r="D56" s="166">
        <v>37801.0</v>
      </c>
      <c r="E56" s="49" t="s">
        <v>964</v>
      </c>
      <c r="F56" s="49" t="s">
        <v>965</v>
      </c>
      <c r="G56" s="49" t="s">
        <v>966</v>
      </c>
      <c r="H56" s="199">
        <f t="shared" si="8"/>
        <v>23</v>
      </c>
      <c r="I56" s="12" t="s">
        <v>67</v>
      </c>
      <c r="J56" s="7" t="s">
        <v>26</v>
      </c>
      <c r="K56" s="7" t="s">
        <v>89</v>
      </c>
      <c r="L56" s="11" t="s">
        <v>28</v>
      </c>
      <c r="M56" s="42" t="s">
        <v>61</v>
      </c>
      <c r="N56" s="42" t="s">
        <v>62</v>
      </c>
      <c r="O56" s="164">
        <v>45929.0</v>
      </c>
      <c r="P56" s="246">
        <f t="shared" si="9"/>
        <v>45989</v>
      </c>
      <c r="Q56" s="22">
        <v>45849.0</v>
      </c>
      <c r="R56" s="24" t="s">
        <v>31</v>
      </c>
      <c r="S56" s="273">
        <v>1423500.0</v>
      </c>
      <c r="T56" s="273">
        <v>711750.0</v>
      </c>
      <c r="U56" s="36" t="s">
        <v>229</v>
      </c>
    </row>
    <row r="57" ht="15.75" customHeight="1">
      <c r="A57" s="200" t="s">
        <v>21</v>
      </c>
      <c r="B57" s="193">
        <v>4116068.0</v>
      </c>
      <c r="C57" s="342" t="s">
        <v>967</v>
      </c>
      <c r="D57" s="260">
        <v>37434.0</v>
      </c>
      <c r="E57" s="196">
        <v>3.232372072E9</v>
      </c>
      <c r="F57" s="196" t="s">
        <v>968</v>
      </c>
      <c r="G57" s="196" t="s">
        <v>969</v>
      </c>
      <c r="H57" s="199">
        <f t="shared" si="8"/>
        <v>24</v>
      </c>
      <c r="I57" s="12" t="s">
        <v>25</v>
      </c>
      <c r="J57" s="95" t="s">
        <v>26</v>
      </c>
      <c r="K57" s="79" t="s">
        <v>89</v>
      </c>
      <c r="L57" s="261" t="s">
        <v>73</v>
      </c>
      <c r="M57" s="52" t="s">
        <v>61</v>
      </c>
      <c r="N57" s="52" t="s">
        <v>62</v>
      </c>
      <c r="O57" s="98">
        <v>46060.0</v>
      </c>
      <c r="P57" s="59">
        <f t="shared" si="9"/>
        <v>46120</v>
      </c>
      <c r="Q57" s="7"/>
      <c r="R57" s="12" t="s">
        <v>39</v>
      </c>
      <c r="S57" s="100">
        <v>1750905.0</v>
      </c>
      <c r="T57" s="100">
        <f>S57/2</f>
        <v>875452.5</v>
      </c>
      <c r="U57" s="36" t="s">
        <v>970</v>
      </c>
    </row>
    <row r="58" ht="15.75" hidden="1" customHeight="1">
      <c r="A58" s="200" t="s">
        <v>267</v>
      </c>
      <c r="B58" s="193">
        <v>2.9911915E7</v>
      </c>
      <c r="C58" s="196" t="s">
        <v>971</v>
      </c>
      <c r="D58" s="260">
        <v>37743.0</v>
      </c>
      <c r="E58" s="196">
        <v>3.004923622E9</v>
      </c>
      <c r="F58" s="196" t="s">
        <v>972</v>
      </c>
      <c r="G58" s="196" t="s">
        <v>822</v>
      </c>
      <c r="H58" s="199">
        <f t="shared" si="8"/>
        <v>23</v>
      </c>
      <c r="I58" s="12" t="s">
        <v>25</v>
      </c>
      <c r="J58" s="95" t="s">
        <v>26</v>
      </c>
      <c r="K58" s="79" t="s">
        <v>89</v>
      </c>
      <c r="L58" s="261" t="s">
        <v>73</v>
      </c>
      <c r="M58" s="52" t="s">
        <v>61</v>
      </c>
      <c r="N58" s="52" t="s">
        <v>62</v>
      </c>
      <c r="O58" s="98">
        <v>46015.0</v>
      </c>
      <c r="P58" s="59">
        <f t="shared" si="9"/>
        <v>46075</v>
      </c>
      <c r="Q58" s="22">
        <v>46024.0</v>
      </c>
      <c r="R58" s="24" t="s">
        <v>31</v>
      </c>
      <c r="S58" s="273">
        <v>1423500.0</v>
      </c>
      <c r="T58" s="273">
        <v>711750.0</v>
      </c>
      <c r="U58" s="24" t="s">
        <v>31</v>
      </c>
    </row>
    <row r="59" ht="15.75" hidden="1" customHeight="1">
      <c r="A59" s="200" t="s">
        <v>50</v>
      </c>
      <c r="B59" s="193">
        <v>1.014861284E9</v>
      </c>
      <c r="C59" s="196" t="s">
        <v>973</v>
      </c>
      <c r="D59" s="260">
        <v>38785.0</v>
      </c>
      <c r="E59" s="196">
        <v>3.132541762E9</v>
      </c>
      <c r="F59" s="196" t="s">
        <v>974</v>
      </c>
      <c r="G59" s="196" t="s">
        <v>975</v>
      </c>
      <c r="H59" s="199">
        <f t="shared" si="8"/>
        <v>20</v>
      </c>
      <c r="I59" s="102" t="s">
        <v>67</v>
      </c>
      <c r="J59" s="95" t="s">
        <v>26</v>
      </c>
      <c r="K59" s="79" t="s">
        <v>89</v>
      </c>
      <c r="L59" s="149" t="s">
        <v>28</v>
      </c>
      <c r="M59" s="52" t="s">
        <v>61</v>
      </c>
      <c r="N59" s="52" t="s">
        <v>62</v>
      </c>
      <c r="O59" s="98">
        <v>46030.0</v>
      </c>
      <c r="P59" s="59">
        <f>O59+60</f>
        <v>46090</v>
      </c>
      <c r="Q59" s="344">
        <v>46083.0</v>
      </c>
      <c r="R59" s="24" t="s">
        <v>31</v>
      </c>
      <c r="S59" s="100">
        <v>1750905.0</v>
      </c>
      <c r="T59" s="100">
        <f>S59/2</f>
        <v>875452.5</v>
      </c>
      <c r="U59" s="24" t="s">
        <v>31</v>
      </c>
    </row>
    <row r="60" ht="15.75" hidden="1" customHeight="1">
      <c r="A60" s="200" t="s">
        <v>267</v>
      </c>
      <c r="B60" s="193">
        <v>2.9911915E7</v>
      </c>
      <c r="C60" s="196" t="s">
        <v>971</v>
      </c>
      <c r="D60" s="260">
        <v>37657.0</v>
      </c>
      <c r="E60" s="196">
        <v>3.004923622E9</v>
      </c>
      <c r="F60" s="196"/>
      <c r="G60" s="196"/>
      <c r="H60" s="199">
        <f t="shared" si="8"/>
        <v>23</v>
      </c>
      <c r="I60" s="12" t="s">
        <v>25</v>
      </c>
      <c r="J60" s="95" t="s">
        <v>26</v>
      </c>
      <c r="K60" s="79" t="s">
        <v>89</v>
      </c>
      <c r="L60" s="261" t="s">
        <v>73</v>
      </c>
      <c r="M60" s="52" t="s">
        <v>61</v>
      </c>
      <c r="N60" s="52" t="s">
        <v>62</v>
      </c>
      <c r="O60" s="98">
        <v>46015.0</v>
      </c>
      <c r="P60" s="59">
        <f>O60+60</f>
        <v>46075</v>
      </c>
      <c r="Q60" s="22">
        <v>46054.0</v>
      </c>
      <c r="R60" s="24" t="s">
        <v>31</v>
      </c>
      <c r="S60" s="273">
        <v>1423500.0</v>
      </c>
      <c r="T60" s="273">
        <v>711750.0</v>
      </c>
      <c r="U60" s="36" t="s">
        <v>229</v>
      </c>
    </row>
    <row r="61" ht="15.75" hidden="1" customHeight="1">
      <c r="A61" s="200" t="s">
        <v>50</v>
      </c>
      <c r="B61" s="193">
        <v>1.01601514E9</v>
      </c>
      <c r="C61" s="196" t="s">
        <v>976</v>
      </c>
      <c r="D61" s="196" t="s">
        <v>977</v>
      </c>
      <c r="E61" s="196">
        <v>3.242778328E9</v>
      </c>
      <c r="F61" s="196" t="s">
        <v>978</v>
      </c>
      <c r="G61" s="196" t="s">
        <v>979</v>
      </c>
      <c r="H61" s="326">
        <v>33.0</v>
      </c>
      <c r="I61" s="62" t="s">
        <v>25</v>
      </c>
      <c r="J61" s="95" t="s">
        <v>26</v>
      </c>
      <c r="K61" s="79" t="s">
        <v>89</v>
      </c>
      <c r="L61" s="11" t="s">
        <v>48</v>
      </c>
      <c r="M61" s="52" t="s">
        <v>61</v>
      </c>
      <c r="N61" s="52" t="s">
        <v>62</v>
      </c>
      <c r="O61" s="274">
        <v>46038.0</v>
      </c>
      <c r="P61" s="59">
        <f>O61+60</f>
        <v>46098</v>
      </c>
      <c r="Q61" s="344">
        <v>46144.0</v>
      </c>
      <c r="R61" s="24" t="s">
        <v>31</v>
      </c>
      <c r="S61" s="273">
        <v>2000000.0</v>
      </c>
      <c r="T61" s="273">
        <v>1000000.0</v>
      </c>
      <c r="U61" s="24" t="s">
        <v>31</v>
      </c>
    </row>
    <row r="62" ht="15.75" customHeight="1">
      <c r="A62" s="49" t="s">
        <v>267</v>
      </c>
      <c r="B62" s="193">
        <v>3.0544573E7</v>
      </c>
      <c r="C62" s="342" t="s">
        <v>980</v>
      </c>
      <c r="D62" s="260">
        <v>38634.0</v>
      </c>
      <c r="E62" s="196">
        <v>3.236454016E9</v>
      </c>
      <c r="F62" s="196" t="s">
        <v>981</v>
      </c>
      <c r="G62" s="196" t="s">
        <v>982</v>
      </c>
      <c r="H62" s="60">
        <f t="shared" ref="H62:H68" si="10">(YEAR(NOW())-YEAR(D62))</f>
        <v>21</v>
      </c>
      <c r="I62" s="12" t="s">
        <v>25</v>
      </c>
      <c r="J62" s="95" t="s">
        <v>26</v>
      </c>
      <c r="K62" s="79" t="s">
        <v>89</v>
      </c>
      <c r="L62" s="261" t="s">
        <v>73</v>
      </c>
      <c r="M62" s="52" t="s">
        <v>61</v>
      </c>
      <c r="N62" s="52" t="s">
        <v>62</v>
      </c>
      <c r="O62" s="98">
        <v>46068.0</v>
      </c>
      <c r="P62" s="17">
        <f t="shared" ref="P62:P63" si="11">O62+60</f>
        <v>46128</v>
      </c>
      <c r="Q62" s="7"/>
      <c r="R62" s="12" t="s">
        <v>39</v>
      </c>
      <c r="S62" s="100">
        <v>1750905.0</v>
      </c>
      <c r="T62" s="100">
        <f t="shared" ref="T62:T63" si="12">S62/2</f>
        <v>875452.5</v>
      </c>
      <c r="U62" s="36" t="s">
        <v>229</v>
      </c>
    </row>
    <row r="63" ht="15.75" customHeight="1">
      <c r="A63" s="200" t="s">
        <v>267</v>
      </c>
      <c r="B63" s="193">
        <v>1.5126106E7</v>
      </c>
      <c r="C63" s="342" t="s">
        <v>983</v>
      </c>
      <c r="D63" s="254">
        <v>30018.0</v>
      </c>
      <c r="E63" s="196">
        <v>3.232108859E9</v>
      </c>
      <c r="F63" s="196" t="s">
        <v>984</v>
      </c>
      <c r="G63" s="196" t="s">
        <v>959</v>
      </c>
      <c r="H63" s="199">
        <f t="shared" si="10"/>
        <v>44</v>
      </c>
      <c r="I63" s="12" t="s">
        <v>25</v>
      </c>
      <c r="J63" s="95" t="s">
        <v>26</v>
      </c>
      <c r="K63" s="79" t="s">
        <v>89</v>
      </c>
      <c r="L63" s="149" t="s">
        <v>28</v>
      </c>
      <c r="M63" s="52" t="s">
        <v>61</v>
      </c>
      <c r="N63" s="52" t="s">
        <v>62</v>
      </c>
      <c r="O63" s="345">
        <v>46059.0</v>
      </c>
      <c r="P63" s="59">
        <f t="shared" si="11"/>
        <v>46119</v>
      </c>
      <c r="Q63" s="7"/>
      <c r="R63" s="12" t="s">
        <v>39</v>
      </c>
      <c r="S63" s="100">
        <v>1750905.0</v>
      </c>
      <c r="T63" s="100">
        <f t="shared" si="12"/>
        <v>875452.5</v>
      </c>
      <c r="U63" s="36" t="s">
        <v>229</v>
      </c>
    </row>
    <row r="64" ht="15.75" customHeight="1">
      <c r="A64" s="200" t="s">
        <v>50</v>
      </c>
      <c r="B64" s="193">
        <v>1.016118677E9</v>
      </c>
      <c r="C64" s="342" t="s">
        <v>985</v>
      </c>
      <c r="D64" s="260">
        <v>38634.0</v>
      </c>
      <c r="E64" s="196">
        <v>3.02356935E9</v>
      </c>
      <c r="F64" s="196" t="s">
        <v>986</v>
      </c>
      <c r="G64" s="196" t="s">
        <v>654</v>
      </c>
      <c r="H64" s="63">
        <f t="shared" si="10"/>
        <v>21</v>
      </c>
      <c r="I64" s="102" t="s">
        <v>67</v>
      </c>
      <c r="J64" s="95" t="s">
        <v>26</v>
      </c>
      <c r="K64" s="79" t="s">
        <v>89</v>
      </c>
      <c r="L64" s="11" t="s">
        <v>48</v>
      </c>
      <c r="M64" s="52" t="s">
        <v>61</v>
      </c>
      <c r="N64" s="52" t="s">
        <v>62</v>
      </c>
      <c r="O64" s="98">
        <v>46066.0</v>
      </c>
      <c r="P64" s="17">
        <f t="shared" ref="P64:P65" si="13">O64+60</f>
        <v>46126</v>
      </c>
      <c r="Q64" s="7"/>
      <c r="R64" s="12" t="s">
        <v>39</v>
      </c>
      <c r="S64" s="100">
        <v>2000000.0</v>
      </c>
      <c r="T64" s="100">
        <v>1000000.0</v>
      </c>
      <c r="U64" s="36" t="s">
        <v>987</v>
      </c>
    </row>
    <row r="65" ht="15.75" customHeight="1">
      <c r="A65" s="200" t="s">
        <v>50</v>
      </c>
      <c r="B65" s="193">
        <v>1.0325097E9</v>
      </c>
      <c r="C65" s="342" t="s">
        <v>344</v>
      </c>
      <c r="D65" s="248">
        <v>36009.0</v>
      </c>
      <c r="E65" s="196">
        <v>3.219707394E9</v>
      </c>
      <c r="F65" s="196" t="s">
        <v>988</v>
      </c>
      <c r="G65" s="196" t="s">
        <v>989</v>
      </c>
      <c r="H65" s="79">
        <f t="shared" si="10"/>
        <v>28</v>
      </c>
      <c r="I65" s="12" t="s">
        <v>25</v>
      </c>
      <c r="J65" s="95" t="s">
        <v>26</v>
      </c>
      <c r="K65" s="79" t="s">
        <v>89</v>
      </c>
      <c r="L65" s="149" t="s">
        <v>28</v>
      </c>
      <c r="M65" s="52" t="s">
        <v>61</v>
      </c>
      <c r="N65" s="52" t="s">
        <v>62</v>
      </c>
      <c r="O65" s="98">
        <v>46074.0</v>
      </c>
      <c r="P65" s="59">
        <f t="shared" si="13"/>
        <v>46134</v>
      </c>
      <c r="Q65" s="7"/>
      <c r="R65" s="12" t="s">
        <v>39</v>
      </c>
      <c r="S65" s="100">
        <v>1750905.0</v>
      </c>
      <c r="T65" s="100">
        <f>S65/2</f>
        <v>875452.5</v>
      </c>
      <c r="U65" s="36" t="s">
        <v>990</v>
      </c>
    </row>
    <row r="66" ht="15.75" customHeight="1">
      <c r="A66" s="200"/>
      <c r="B66" s="193"/>
      <c r="C66" s="196"/>
      <c r="D66" s="260">
        <v>33240.0</v>
      </c>
      <c r="E66" s="196"/>
      <c r="F66" s="196"/>
      <c r="G66" s="196"/>
      <c r="H66" s="199">
        <f t="shared" si="10"/>
        <v>35</v>
      </c>
      <c r="I66" s="102"/>
      <c r="J66" s="95"/>
      <c r="K66" s="79"/>
      <c r="L66" s="149"/>
      <c r="M66" s="52"/>
      <c r="N66" s="52"/>
      <c r="O66" s="98"/>
      <c r="P66" s="59">
        <f t="shared" ref="P66:P68" si="14">O66+60</f>
        <v>60</v>
      </c>
      <c r="Q66" s="7"/>
      <c r="R66" s="12"/>
      <c r="S66" s="100"/>
      <c r="T66" s="100"/>
      <c r="U66" s="36"/>
    </row>
    <row r="67" ht="15.75" customHeight="1">
      <c r="A67" s="200"/>
      <c r="B67" s="193"/>
      <c r="C67" s="196"/>
      <c r="D67" s="260">
        <v>38311.0</v>
      </c>
      <c r="E67" s="196"/>
      <c r="F67" s="196"/>
      <c r="G67" s="196"/>
      <c r="H67" s="79">
        <f t="shared" si="10"/>
        <v>22</v>
      </c>
      <c r="I67" s="102"/>
      <c r="J67" s="95"/>
      <c r="K67" s="79"/>
      <c r="L67" s="149"/>
      <c r="M67" s="52"/>
      <c r="N67" s="52"/>
      <c r="O67" s="98"/>
      <c r="P67" s="17">
        <f t="shared" si="14"/>
        <v>60</v>
      </c>
      <c r="Q67" s="7"/>
      <c r="R67" s="12"/>
      <c r="S67" s="100"/>
      <c r="T67" s="100"/>
      <c r="U67" s="36"/>
    </row>
    <row r="68" ht="15.75" customHeight="1">
      <c r="A68" s="200"/>
      <c r="B68" s="193"/>
      <c r="C68" s="196"/>
      <c r="D68" s="166">
        <v>38927.0</v>
      </c>
      <c r="E68" s="196"/>
      <c r="F68" s="196"/>
      <c r="G68" s="196"/>
      <c r="H68" s="199">
        <f t="shared" si="10"/>
        <v>20</v>
      </c>
      <c r="I68" s="102"/>
      <c r="J68" s="95"/>
      <c r="K68" s="79"/>
      <c r="L68" s="149"/>
      <c r="M68" s="52"/>
      <c r="N68" s="52"/>
      <c r="O68" s="98"/>
      <c r="P68" s="17">
        <f t="shared" si="14"/>
        <v>60</v>
      </c>
      <c r="Q68" s="7"/>
      <c r="R68" s="12"/>
      <c r="S68" s="100"/>
      <c r="T68" s="100"/>
      <c r="U68" s="36"/>
    </row>
    <row r="69" ht="15.75" customHeight="1">
      <c r="O69" s="220"/>
    </row>
    <row r="70" ht="15.75" customHeight="1">
      <c r="O70" s="220"/>
    </row>
    <row r="71" ht="15.75" customHeight="1">
      <c r="O71" s="220"/>
    </row>
    <row r="72" ht="15.75" customHeight="1">
      <c r="O72" s="220"/>
    </row>
    <row r="73" ht="15.75" customHeight="1">
      <c r="O73" s="220"/>
    </row>
    <row r="74" ht="15.75" customHeight="1">
      <c r="O74" s="220"/>
    </row>
    <row r="75" ht="15.75" customHeight="1">
      <c r="O75" s="220"/>
    </row>
    <row r="76" ht="15.75" customHeight="1">
      <c r="O76" s="220"/>
    </row>
    <row r="77" ht="15.75" customHeight="1">
      <c r="O77" s="220"/>
    </row>
    <row r="78" ht="15.75" customHeight="1">
      <c r="O78" s="220"/>
    </row>
    <row r="79" ht="15.75" customHeight="1">
      <c r="O79" s="220"/>
    </row>
    <row r="80" ht="15.75" customHeight="1">
      <c r="O80" s="220"/>
    </row>
    <row r="81" ht="15.75" customHeight="1">
      <c r="O81" s="220"/>
    </row>
    <row r="82" ht="15.75" customHeight="1">
      <c r="O82" s="220"/>
    </row>
    <row r="83" ht="15.75" customHeight="1">
      <c r="O83" s="220"/>
    </row>
    <row r="84" ht="15.75" customHeight="1">
      <c r="O84" s="220"/>
    </row>
    <row r="85" ht="15.75" customHeight="1">
      <c r="O85" s="220"/>
    </row>
    <row r="86" ht="15.75" customHeight="1">
      <c r="O86" s="220"/>
    </row>
    <row r="87" ht="15.75" customHeight="1">
      <c r="O87" s="220"/>
    </row>
    <row r="88" ht="15.75" customHeight="1">
      <c r="O88" s="220"/>
    </row>
    <row r="89" ht="15.75" customHeight="1">
      <c r="O89" s="220"/>
    </row>
    <row r="90" ht="15.75" customHeight="1">
      <c r="O90" s="220"/>
    </row>
    <row r="91" ht="15.75" customHeight="1">
      <c r="O91" s="220"/>
    </row>
    <row r="92" ht="15.75" customHeight="1">
      <c r="O92" s="220"/>
    </row>
    <row r="93" ht="15.75" customHeight="1">
      <c r="O93" s="220"/>
    </row>
    <row r="94" ht="15.75" customHeight="1">
      <c r="O94" s="220"/>
    </row>
    <row r="95" ht="15.75" customHeight="1">
      <c r="O95" s="220"/>
    </row>
    <row r="96" ht="15.75" customHeight="1">
      <c r="O96" s="220"/>
    </row>
    <row r="97" ht="15.75" customHeight="1">
      <c r="O97" s="220"/>
    </row>
    <row r="98" ht="15.75" customHeight="1">
      <c r="O98" s="220"/>
    </row>
    <row r="99" ht="15.75" customHeight="1">
      <c r="O99" s="220"/>
    </row>
    <row r="100" ht="15.75" customHeight="1">
      <c r="O100" s="220"/>
    </row>
    <row r="101" ht="15.75" customHeight="1">
      <c r="O101" s="220"/>
    </row>
    <row r="102" ht="15.75" customHeight="1">
      <c r="O102" s="220"/>
    </row>
    <row r="103" ht="15.75" customHeight="1">
      <c r="O103" s="220"/>
    </row>
    <row r="104" ht="15.75" customHeight="1">
      <c r="O104" s="220"/>
    </row>
    <row r="105" ht="15.75" customHeight="1">
      <c r="O105" s="220"/>
    </row>
    <row r="106" ht="15.75" customHeight="1">
      <c r="O106" s="220"/>
    </row>
    <row r="107" ht="15.75" customHeight="1">
      <c r="O107" s="220"/>
    </row>
    <row r="108" ht="15.75" customHeight="1">
      <c r="O108" s="220"/>
    </row>
    <row r="109" ht="15.75" customHeight="1">
      <c r="O109" s="220"/>
    </row>
    <row r="110" ht="15.75" customHeight="1">
      <c r="O110" s="220"/>
    </row>
    <row r="111" ht="15.75" customHeight="1">
      <c r="O111" s="220"/>
    </row>
    <row r="112" ht="15.75" customHeight="1">
      <c r="O112" s="220"/>
    </row>
    <row r="113" ht="15.75" customHeight="1">
      <c r="O113" s="220"/>
    </row>
    <row r="114" ht="15.75" customHeight="1">
      <c r="O114" s="220"/>
    </row>
    <row r="115" ht="15.75" customHeight="1">
      <c r="O115" s="220"/>
    </row>
    <row r="116" ht="15.75" customHeight="1">
      <c r="O116" s="220"/>
    </row>
    <row r="117" ht="15.75" customHeight="1">
      <c r="O117" s="220"/>
    </row>
    <row r="118" ht="15.75" customHeight="1">
      <c r="O118" s="220"/>
    </row>
    <row r="119" ht="15.75" customHeight="1">
      <c r="O119" s="220"/>
    </row>
    <row r="120" ht="15.75" customHeight="1">
      <c r="O120" s="220"/>
    </row>
    <row r="121" ht="15.75" customHeight="1">
      <c r="O121" s="220"/>
    </row>
    <row r="122" ht="15.75" customHeight="1">
      <c r="O122" s="220"/>
    </row>
    <row r="123" ht="15.75" customHeight="1">
      <c r="O123" s="220"/>
    </row>
    <row r="124" ht="15.75" customHeight="1">
      <c r="O124" s="220"/>
    </row>
    <row r="125" ht="15.75" customHeight="1">
      <c r="O125" s="220"/>
    </row>
    <row r="126" ht="15.75" customHeight="1">
      <c r="O126" s="220"/>
    </row>
    <row r="127" ht="15.75" customHeight="1">
      <c r="O127" s="220"/>
    </row>
    <row r="128" ht="15.75" customHeight="1">
      <c r="O128" s="220"/>
    </row>
    <row r="129" ht="15.75" customHeight="1">
      <c r="O129" s="220"/>
    </row>
    <row r="130" ht="15.75" customHeight="1">
      <c r="O130" s="220"/>
    </row>
    <row r="131" ht="15.75" customHeight="1">
      <c r="O131" s="220"/>
    </row>
    <row r="132" ht="15.75" customHeight="1">
      <c r="O132" s="220"/>
    </row>
    <row r="133" ht="15.75" customHeight="1">
      <c r="O133" s="220"/>
    </row>
    <row r="134" ht="15.75" customHeight="1">
      <c r="O134" s="220"/>
    </row>
    <row r="135" ht="15.75" customHeight="1">
      <c r="O135" s="220"/>
    </row>
    <row r="136" ht="15.75" customHeight="1">
      <c r="O136" s="220"/>
    </row>
    <row r="137" ht="15.75" customHeight="1">
      <c r="O137" s="220"/>
    </row>
    <row r="138" ht="15.75" customHeight="1">
      <c r="O138" s="220"/>
    </row>
    <row r="139" ht="15.75" customHeight="1">
      <c r="O139" s="220"/>
    </row>
    <row r="140" ht="15.75" customHeight="1">
      <c r="O140" s="220"/>
    </row>
    <row r="141" ht="15.75" customHeight="1">
      <c r="O141" s="220"/>
    </row>
    <row r="142" ht="15.75" customHeight="1">
      <c r="O142" s="220"/>
    </row>
    <row r="143" ht="15.75" customHeight="1">
      <c r="O143" s="220"/>
    </row>
    <row r="144" ht="15.75" customHeight="1">
      <c r="O144" s="220"/>
    </row>
    <row r="145" ht="15.75" customHeight="1">
      <c r="O145" s="220"/>
    </row>
    <row r="146" ht="15.75" customHeight="1">
      <c r="O146" s="220"/>
    </row>
    <row r="147" ht="15.75" customHeight="1">
      <c r="O147" s="220"/>
    </row>
    <row r="148" ht="15.75" customHeight="1">
      <c r="O148" s="220"/>
    </row>
    <row r="149" ht="15.75" customHeight="1">
      <c r="O149" s="220"/>
    </row>
    <row r="150" ht="15.75" customHeight="1">
      <c r="O150" s="220"/>
    </row>
    <row r="151" ht="15.75" customHeight="1">
      <c r="O151" s="220"/>
    </row>
    <row r="152" ht="15.75" customHeight="1">
      <c r="O152" s="220"/>
    </row>
    <row r="153" ht="15.75" customHeight="1">
      <c r="O153" s="220"/>
    </row>
    <row r="154" ht="15.75" customHeight="1">
      <c r="O154" s="220"/>
    </row>
    <row r="155" ht="15.75" customHeight="1">
      <c r="O155" s="220"/>
    </row>
    <row r="156" ht="15.75" customHeight="1">
      <c r="O156" s="220"/>
    </row>
    <row r="157" ht="15.75" customHeight="1">
      <c r="O157" s="220"/>
    </row>
    <row r="158" ht="15.75" customHeight="1">
      <c r="O158" s="220"/>
    </row>
    <row r="159" ht="15.75" customHeight="1">
      <c r="O159" s="220"/>
    </row>
    <row r="160" ht="15.75" customHeight="1">
      <c r="O160" s="220"/>
    </row>
    <row r="161" ht="15.75" customHeight="1">
      <c r="O161" s="220"/>
    </row>
    <row r="162" ht="15.75" customHeight="1">
      <c r="O162" s="220"/>
    </row>
    <row r="163" ht="15.75" customHeight="1">
      <c r="O163" s="220"/>
    </row>
    <row r="164" ht="15.75" customHeight="1">
      <c r="O164" s="220"/>
    </row>
    <row r="165" ht="15.75" customHeight="1">
      <c r="O165" s="220"/>
    </row>
    <row r="166" ht="15.75" customHeight="1">
      <c r="O166" s="220"/>
    </row>
    <row r="167" ht="15.75" customHeight="1">
      <c r="O167" s="220"/>
    </row>
    <row r="168" ht="15.75" customHeight="1">
      <c r="O168" s="220"/>
    </row>
    <row r="169" ht="15.75" customHeight="1">
      <c r="O169" s="220"/>
    </row>
    <row r="170" ht="15.75" customHeight="1">
      <c r="O170" s="220"/>
    </row>
    <row r="171" ht="15.75" customHeight="1">
      <c r="O171" s="220"/>
    </row>
    <row r="172" ht="15.75" customHeight="1">
      <c r="O172" s="220"/>
    </row>
    <row r="173" ht="15.75" customHeight="1">
      <c r="O173" s="220"/>
    </row>
    <row r="174" ht="15.75" customHeight="1">
      <c r="O174" s="220"/>
    </row>
    <row r="175" ht="15.75" customHeight="1">
      <c r="O175" s="220"/>
    </row>
    <row r="176" ht="15.75" customHeight="1">
      <c r="O176" s="220"/>
    </row>
    <row r="177" ht="15.75" customHeight="1">
      <c r="O177" s="220"/>
    </row>
    <row r="178" ht="15.75" customHeight="1">
      <c r="O178" s="220"/>
    </row>
    <row r="179" ht="15.75" customHeight="1">
      <c r="O179" s="220"/>
    </row>
    <row r="180" ht="15.75" customHeight="1">
      <c r="O180" s="220"/>
    </row>
    <row r="181" ht="15.75" customHeight="1">
      <c r="O181" s="220"/>
    </row>
    <row r="182" ht="15.75" customHeight="1">
      <c r="O182" s="220"/>
    </row>
    <row r="183" ht="15.75" customHeight="1">
      <c r="O183" s="220"/>
    </row>
    <row r="184" ht="15.75" customHeight="1">
      <c r="O184" s="220"/>
    </row>
    <row r="185" ht="15.75" customHeight="1">
      <c r="O185" s="220"/>
    </row>
    <row r="186" ht="15.75" customHeight="1">
      <c r="O186" s="220"/>
    </row>
    <row r="187" ht="15.75" customHeight="1">
      <c r="O187" s="220"/>
    </row>
    <row r="188" ht="15.75" customHeight="1">
      <c r="O188" s="220"/>
    </row>
    <row r="189" ht="15.75" customHeight="1">
      <c r="O189" s="220"/>
    </row>
    <row r="190" ht="15.75" customHeight="1">
      <c r="O190" s="220"/>
    </row>
    <row r="191" ht="15.75" customHeight="1">
      <c r="O191" s="220"/>
    </row>
    <row r="192" ht="15.75" customHeight="1">
      <c r="O192" s="220"/>
    </row>
    <row r="193" ht="15.75" customHeight="1">
      <c r="O193" s="220"/>
    </row>
    <row r="194" ht="15.75" customHeight="1">
      <c r="O194" s="220"/>
    </row>
    <row r="195" ht="15.75" customHeight="1">
      <c r="O195" s="220"/>
    </row>
    <row r="196" ht="15.75" customHeight="1">
      <c r="O196" s="220"/>
    </row>
    <row r="197" ht="15.75" customHeight="1">
      <c r="O197" s="220"/>
    </row>
    <row r="198" ht="15.75" customHeight="1">
      <c r="O198" s="220"/>
    </row>
    <row r="199" ht="15.75" customHeight="1">
      <c r="O199" s="220"/>
    </row>
    <row r="200" ht="15.75" customHeight="1">
      <c r="O200" s="220"/>
    </row>
    <row r="201" ht="15.75" customHeight="1">
      <c r="O201" s="220"/>
    </row>
    <row r="202" ht="15.75" customHeight="1">
      <c r="O202" s="220"/>
    </row>
    <row r="203" ht="15.75" customHeight="1">
      <c r="O203" s="220"/>
    </row>
    <row r="204" ht="15.75" customHeight="1">
      <c r="O204" s="220"/>
    </row>
    <row r="205" ht="15.75" customHeight="1">
      <c r="O205" s="220"/>
    </row>
    <row r="206" ht="15.75" customHeight="1">
      <c r="O206" s="220"/>
    </row>
    <row r="207" ht="15.75" customHeight="1">
      <c r="O207" s="220"/>
    </row>
    <row r="208" ht="15.75" customHeight="1">
      <c r="O208" s="220"/>
    </row>
    <row r="209" ht="15.75" customHeight="1">
      <c r="O209" s="220"/>
    </row>
    <row r="210" ht="15.75" customHeight="1">
      <c r="O210" s="220"/>
    </row>
    <row r="211" ht="15.75" customHeight="1">
      <c r="O211" s="220"/>
    </row>
    <row r="212" ht="15.75" customHeight="1">
      <c r="O212" s="220"/>
    </row>
    <row r="213" ht="15.75" customHeight="1">
      <c r="O213" s="220"/>
    </row>
    <row r="214" ht="15.75" customHeight="1">
      <c r="O214" s="220"/>
    </row>
    <row r="215" ht="15.75" customHeight="1">
      <c r="O215" s="220"/>
    </row>
    <row r="216" ht="15.75" customHeight="1">
      <c r="O216" s="220"/>
    </row>
    <row r="217" ht="15.75" customHeight="1">
      <c r="O217" s="220"/>
    </row>
    <row r="218" ht="15.75" customHeight="1">
      <c r="O218" s="220"/>
    </row>
    <row r="219" ht="15.75" customHeight="1">
      <c r="O219" s="220"/>
    </row>
    <row r="220" ht="15.75" customHeight="1">
      <c r="O220" s="220"/>
    </row>
    <row r="221" ht="15.75" customHeight="1">
      <c r="O221" s="220"/>
    </row>
    <row r="222" ht="15.75" customHeight="1">
      <c r="O222" s="220"/>
    </row>
    <row r="223" ht="15.75" customHeight="1">
      <c r="O223" s="220"/>
    </row>
    <row r="224" ht="15.75" customHeight="1">
      <c r="O224" s="220"/>
    </row>
    <row r="225" ht="15.75" customHeight="1">
      <c r="O225" s="220"/>
    </row>
    <row r="226" ht="15.75" customHeight="1">
      <c r="O226" s="220"/>
    </row>
    <row r="227" ht="15.75" customHeight="1">
      <c r="O227" s="220"/>
    </row>
    <row r="228" ht="15.75" customHeight="1">
      <c r="O228" s="220"/>
    </row>
    <row r="229" ht="15.75" customHeight="1">
      <c r="O229" s="220"/>
    </row>
    <row r="230" ht="15.75" customHeight="1">
      <c r="O230" s="220"/>
    </row>
    <row r="231" ht="15.75" customHeight="1">
      <c r="O231" s="220"/>
    </row>
    <row r="232" ht="15.75" customHeight="1">
      <c r="O232" s="220"/>
    </row>
    <row r="233" ht="15.75" customHeight="1">
      <c r="O233" s="220"/>
    </row>
    <row r="234" ht="15.75" customHeight="1">
      <c r="O234" s="220"/>
    </row>
    <row r="235" ht="15.75" customHeight="1">
      <c r="O235" s="220"/>
    </row>
    <row r="236" ht="15.75" customHeight="1">
      <c r="O236" s="220"/>
    </row>
    <row r="237" ht="15.75" customHeight="1">
      <c r="O237" s="220"/>
    </row>
    <row r="238" ht="15.75" customHeight="1">
      <c r="O238" s="220"/>
    </row>
    <row r="239" ht="15.75" customHeight="1">
      <c r="O239" s="220"/>
    </row>
    <row r="240" ht="15.75" customHeight="1">
      <c r="O240" s="220"/>
    </row>
    <row r="241" ht="15.75" customHeight="1">
      <c r="O241" s="220"/>
    </row>
    <row r="242" ht="15.75" customHeight="1">
      <c r="O242" s="220"/>
    </row>
    <row r="243" ht="15.75" customHeight="1">
      <c r="O243" s="220"/>
    </row>
    <row r="244" ht="15.75" customHeight="1">
      <c r="O244" s="220"/>
    </row>
    <row r="245" ht="15.75" customHeight="1">
      <c r="O245" s="220"/>
    </row>
    <row r="246" ht="15.75" customHeight="1">
      <c r="O246" s="220"/>
    </row>
    <row r="247" ht="15.75" customHeight="1">
      <c r="O247" s="220"/>
    </row>
    <row r="248" ht="15.75" customHeight="1">
      <c r="O248" s="220"/>
    </row>
    <row r="249" ht="15.75" customHeight="1">
      <c r="O249" s="220"/>
    </row>
    <row r="250" ht="15.75" customHeight="1">
      <c r="O250" s="220"/>
    </row>
    <row r="251" ht="15.75" customHeight="1">
      <c r="O251" s="220"/>
    </row>
    <row r="252" ht="15.75" customHeight="1">
      <c r="O252" s="220"/>
    </row>
    <row r="253" ht="15.75" customHeight="1">
      <c r="O253" s="220"/>
    </row>
    <row r="254" ht="15.75" customHeight="1">
      <c r="O254" s="220"/>
    </row>
    <row r="255" ht="15.75" customHeight="1">
      <c r="O255" s="220"/>
    </row>
    <row r="256" ht="15.75" customHeight="1">
      <c r="O256" s="220"/>
    </row>
    <row r="257" ht="15.75" customHeight="1">
      <c r="O257" s="220"/>
    </row>
    <row r="258" ht="15.75" customHeight="1">
      <c r="O258" s="220"/>
    </row>
    <row r="259" ht="15.75" customHeight="1">
      <c r="O259" s="220"/>
    </row>
    <row r="260" ht="15.75" customHeight="1">
      <c r="O260" s="220"/>
    </row>
    <row r="261" ht="15.75" customHeight="1">
      <c r="O261" s="220"/>
    </row>
    <row r="262" ht="15.75" customHeight="1">
      <c r="O262" s="220"/>
    </row>
    <row r="263" ht="15.75" customHeight="1">
      <c r="O263" s="220"/>
    </row>
    <row r="264" ht="15.75" customHeight="1">
      <c r="O264" s="220"/>
    </row>
    <row r="265" ht="15.75" customHeight="1">
      <c r="O265" s="220"/>
    </row>
    <row r="266" ht="15.75" customHeight="1">
      <c r="O266" s="220"/>
    </row>
    <row r="267" ht="15.75" customHeight="1">
      <c r="O267" s="220"/>
    </row>
    <row r="268" ht="15.75" customHeight="1">
      <c r="O268" s="220"/>
    </row>
    <row r="269" ht="15.75" customHeight="1">
      <c r="O269" s="220"/>
    </row>
    <row r="270" ht="15.75" customHeight="1">
      <c r="O270" s="220"/>
    </row>
    <row r="271" ht="15.75" customHeight="1">
      <c r="O271" s="220"/>
    </row>
    <row r="272" ht="15.75" customHeight="1">
      <c r="O272" s="220"/>
    </row>
    <row r="273" ht="15.75" customHeight="1">
      <c r="O273" s="220"/>
    </row>
    <row r="274" ht="15.75" customHeight="1">
      <c r="O274" s="220"/>
    </row>
    <row r="275" ht="15.75" customHeight="1">
      <c r="O275" s="220"/>
    </row>
    <row r="276" ht="15.75" customHeight="1">
      <c r="O276" s="220"/>
    </row>
    <row r="277" ht="15.75" customHeight="1">
      <c r="O277" s="220"/>
    </row>
    <row r="278" ht="15.75" customHeight="1">
      <c r="O278" s="220"/>
    </row>
    <row r="279" ht="15.75" customHeight="1">
      <c r="O279" s="220"/>
    </row>
    <row r="280" ht="15.75" customHeight="1">
      <c r="O280" s="220"/>
    </row>
    <row r="281" ht="15.75" customHeight="1">
      <c r="O281" s="220"/>
    </row>
    <row r="282" ht="15.75" customHeight="1">
      <c r="O282" s="220"/>
    </row>
    <row r="283" ht="15.75" customHeight="1">
      <c r="O283" s="220"/>
    </row>
    <row r="284" ht="15.75" customHeight="1">
      <c r="O284" s="220"/>
    </row>
    <row r="285" ht="15.75" customHeight="1">
      <c r="O285" s="220"/>
    </row>
    <row r="286" ht="15.75" customHeight="1">
      <c r="O286" s="220"/>
    </row>
    <row r="287" ht="15.75" customHeight="1">
      <c r="O287" s="220"/>
    </row>
    <row r="288" ht="15.75" customHeight="1">
      <c r="O288" s="220"/>
    </row>
    <row r="289" ht="15.75" customHeight="1">
      <c r="O289" s="220"/>
    </row>
    <row r="290" ht="15.75" customHeight="1">
      <c r="O290" s="220"/>
    </row>
    <row r="291" ht="15.75" customHeight="1">
      <c r="O291" s="220"/>
    </row>
    <row r="292" ht="15.75" customHeight="1">
      <c r="O292" s="220"/>
    </row>
    <row r="293" ht="15.75" customHeight="1">
      <c r="O293" s="220"/>
    </row>
    <row r="294" ht="15.75" customHeight="1">
      <c r="O294" s="220"/>
    </row>
    <row r="295" ht="15.75" customHeight="1">
      <c r="O295" s="220"/>
    </row>
    <row r="296" ht="15.75" customHeight="1">
      <c r="O296" s="220"/>
    </row>
    <row r="297" ht="15.75" customHeight="1">
      <c r="O297" s="220"/>
    </row>
    <row r="298" ht="15.75" customHeight="1">
      <c r="O298" s="220"/>
    </row>
    <row r="299" ht="15.75" customHeight="1">
      <c r="O299" s="220"/>
    </row>
    <row r="300" ht="15.75" customHeight="1">
      <c r="O300" s="220"/>
    </row>
    <row r="301" ht="15.75" customHeight="1">
      <c r="O301" s="220"/>
    </row>
    <row r="302" ht="15.75" customHeight="1">
      <c r="O302" s="220"/>
    </row>
    <row r="303" ht="15.75" customHeight="1">
      <c r="O303" s="220"/>
    </row>
    <row r="304" ht="15.75" customHeight="1">
      <c r="O304" s="220"/>
    </row>
    <row r="305" ht="15.75" customHeight="1">
      <c r="O305" s="220"/>
    </row>
    <row r="306" ht="15.75" customHeight="1">
      <c r="O306" s="220"/>
    </row>
    <row r="307" ht="15.75" customHeight="1">
      <c r="O307" s="220"/>
    </row>
    <row r="308" ht="15.75" customHeight="1">
      <c r="O308" s="220"/>
    </row>
    <row r="309" ht="15.75" customHeight="1">
      <c r="O309" s="220"/>
    </row>
    <row r="310" ht="15.75" customHeight="1">
      <c r="O310" s="220"/>
    </row>
    <row r="311" ht="15.75" customHeight="1">
      <c r="O311" s="220"/>
    </row>
    <row r="312" ht="15.75" customHeight="1">
      <c r="O312" s="220"/>
    </row>
    <row r="313" ht="15.75" customHeight="1">
      <c r="O313" s="220"/>
    </row>
    <row r="314" ht="15.75" customHeight="1">
      <c r="O314" s="220"/>
    </row>
    <row r="315" ht="15.75" customHeight="1">
      <c r="O315" s="220"/>
    </row>
    <row r="316" ht="15.75" customHeight="1">
      <c r="O316" s="220"/>
    </row>
    <row r="317" ht="15.75" customHeight="1">
      <c r="O317" s="220"/>
    </row>
    <row r="318" ht="15.75" customHeight="1">
      <c r="O318" s="220"/>
    </row>
    <row r="319" ht="15.75" customHeight="1">
      <c r="O319" s="220"/>
    </row>
    <row r="320" ht="15.75" customHeight="1">
      <c r="O320" s="220"/>
    </row>
    <row r="321" ht="15.75" customHeight="1">
      <c r="O321" s="220"/>
    </row>
    <row r="322" ht="15.75" customHeight="1">
      <c r="O322" s="220"/>
    </row>
    <row r="323" ht="15.75" customHeight="1">
      <c r="O323" s="220"/>
    </row>
    <row r="324" ht="15.75" customHeight="1">
      <c r="O324" s="220"/>
    </row>
    <row r="325" ht="15.75" customHeight="1">
      <c r="O325" s="220"/>
    </row>
    <row r="326" ht="15.75" customHeight="1">
      <c r="O326" s="220"/>
    </row>
    <row r="327" ht="15.75" customHeight="1">
      <c r="O327" s="220"/>
    </row>
    <row r="328" ht="15.75" customHeight="1">
      <c r="O328" s="220"/>
    </row>
    <row r="329" ht="15.75" customHeight="1">
      <c r="O329" s="220"/>
    </row>
    <row r="330" ht="15.75" customHeight="1">
      <c r="O330" s="220"/>
    </row>
    <row r="331" ht="15.75" customHeight="1">
      <c r="O331" s="220"/>
    </row>
    <row r="332" ht="15.75" customHeight="1">
      <c r="O332" s="220"/>
    </row>
    <row r="333" ht="15.75" customHeight="1">
      <c r="O333" s="220"/>
    </row>
    <row r="334" ht="15.75" customHeight="1">
      <c r="O334" s="220"/>
    </row>
    <row r="335" ht="15.75" customHeight="1">
      <c r="O335" s="220"/>
    </row>
    <row r="336" ht="15.75" customHeight="1">
      <c r="O336" s="220"/>
    </row>
    <row r="337" ht="15.75" customHeight="1">
      <c r="O337" s="220"/>
    </row>
    <row r="338" ht="15.75" customHeight="1">
      <c r="O338" s="220"/>
    </row>
    <row r="339" ht="15.75" customHeight="1">
      <c r="O339" s="220"/>
    </row>
    <row r="340" ht="15.75" customHeight="1">
      <c r="O340" s="220"/>
    </row>
    <row r="341" ht="15.75" customHeight="1">
      <c r="O341" s="220"/>
    </row>
    <row r="342" ht="15.75" customHeight="1">
      <c r="O342" s="220"/>
    </row>
    <row r="343" ht="15.75" customHeight="1">
      <c r="O343" s="220"/>
    </row>
    <row r="344" ht="15.75" customHeight="1">
      <c r="O344" s="220"/>
    </row>
    <row r="345" ht="15.75" customHeight="1">
      <c r="O345" s="220"/>
    </row>
    <row r="346" ht="15.75" customHeight="1">
      <c r="O346" s="220"/>
    </row>
    <row r="347" ht="15.75" customHeight="1">
      <c r="O347" s="220"/>
    </row>
    <row r="348" ht="15.75" customHeight="1">
      <c r="O348" s="220"/>
    </row>
    <row r="349" ht="15.75" customHeight="1">
      <c r="O349" s="220"/>
    </row>
    <row r="350" ht="15.75" customHeight="1">
      <c r="O350" s="220"/>
    </row>
    <row r="351" ht="15.75" customHeight="1">
      <c r="O351" s="220"/>
    </row>
    <row r="352" ht="15.75" customHeight="1">
      <c r="O352" s="220"/>
    </row>
    <row r="353" ht="15.75" customHeight="1">
      <c r="O353" s="220"/>
    </row>
    <row r="354" ht="15.75" customHeight="1">
      <c r="O354" s="220"/>
    </row>
    <row r="355" ht="15.75" customHeight="1">
      <c r="O355" s="220"/>
    </row>
    <row r="356" ht="15.75" customHeight="1">
      <c r="O356" s="220"/>
    </row>
    <row r="357" ht="15.75" customHeight="1">
      <c r="O357" s="220"/>
    </row>
    <row r="358" ht="15.75" customHeight="1">
      <c r="O358" s="220"/>
    </row>
    <row r="359" ht="15.75" customHeight="1">
      <c r="O359" s="220"/>
    </row>
    <row r="360" ht="15.75" customHeight="1">
      <c r="O360" s="220"/>
    </row>
    <row r="361" ht="15.75" customHeight="1">
      <c r="O361" s="220"/>
    </row>
    <row r="362" ht="15.75" customHeight="1">
      <c r="O362" s="220"/>
    </row>
    <row r="363" ht="15.75" customHeight="1">
      <c r="O363" s="220"/>
    </row>
    <row r="364" ht="15.75" customHeight="1">
      <c r="O364" s="220"/>
    </row>
    <row r="365" ht="15.75" customHeight="1">
      <c r="O365" s="220"/>
    </row>
    <row r="366" ht="15.75" customHeight="1">
      <c r="O366" s="220"/>
    </row>
    <row r="367" ht="15.75" customHeight="1">
      <c r="O367" s="220"/>
    </row>
    <row r="368" ht="15.75" customHeight="1">
      <c r="O368" s="220"/>
    </row>
    <row r="369" ht="15.75" customHeight="1">
      <c r="O369" s="220"/>
    </row>
    <row r="370" ht="15.75" customHeight="1">
      <c r="O370" s="220"/>
    </row>
    <row r="371" ht="15.75" customHeight="1">
      <c r="O371" s="220"/>
    </row>
    <row r="372" ht="15.75" customHeight="1">
      <c r="O372" s="220"/>
    </row>
    <row r="373" ht="15.75" customHeight="1">
      <c r="O373" s="220"/>
    </row>
    <row r="374" ht="15.75" customHeight="1">
      <c r="O374" s="220"/>
    </row>
    <row r="375" ht="15.75" customHeight="1">
      <c r="O375" s="220"/>
    </row>
    <row r="376" ht="15.75" customHeight="1">
      <c r="O376" s="220"/>
    </row>
    <row r="377" ht="15.75" customHeight="1">
      <c r="O377" s="220"/>
    </row>
    <row r="378" ht="15.75" customHeight="1">
      <c r="O378" s="220"/>
    </row>
    <row r="379" ht="15.75" customHeight="1">
      <c r="O379" s="220"/>
    </row>
    <row r="380" ht="15.75" customHeight="1">
      <c r="O380" s="220"/>
    </row>
    <row r="381" ht="15.75" customHeight="1">
      <c r="O381" s="220"/>
    </row>
    <row r="382" ht="15.75" customHeight="1">
      <c r="O382" s="220"/>
    </row>
    <row r="383" ht="15.75" customHeight="1">
      <c r="O383" s="220"/>
    </row>
    <row r="384" ht="15.75" customHeight="1">
      <c r="O384" s="220"/>
    </row>
    <row r="385" ht="15.75" customHeight="1">
      <c r="O385" s="220"/>
    </row>
    <row r="386" ht="15.75" customHeight="1">
      <c r="O386" s="220"/>
    </row>
    <row r="387" ht="15.75" customHeight="1">
      <c r="O387" s="220"/>
    </row>
    <row r="388" ht="15.75" customHeight="1">
      <c r="O388" s="220"/>
    </row>
    <row r="389" ht="15.75" customHeight="1">
      <c r="O389" s="220"/>
    </row>
    <row r="390" ht="15.75" customHeight="1">
      <c r="O390" s="220"/>
    </row>
    <row r="391" ht="15.75" customHeight="1">
      <c r="O391" s="220"/>
    </row>
    <row r="392" ht="15.75" customHeight="1">
      <c r="O392" s="220"/>
    </row>
    <row r="393" ht="15.75" customHeight="1">
      <c r="O393" s="220"/>
    </row>
    <row r="394" ht="15.75" customHeight="1">
      <c r="O394" s="220"/>
    </row>
    <row r="395" ht="15.75" customHeight="1">
      <c r="O395" s="220"/>
    </row>
    <row r="396" ht="15.75" customHeight="1">
      <c r="O396" s="220"/>
    </row>
    <row r="397" ht="15.75" customHeight="1">
      <c r="O397" s="220"/>
    </row>
    <row r="398" ht="15.75" customHeight="1">
      <c r="O398" s="220"/>
    </row>
    <row r="399" ht="15.75" customHeight="1">
      <c r="O399" s="220"/>
    </row>
    <row r="400" ht="15.75" customHeight="1">
      <c r="O400" s="220"/>
    </row>
    <row r="401" ht="15.75" customHeight="1">
      <c r="O401" s="220"/>
    </row>
    <row r="402" ht="15.75" customHeight="1">
      <c r="O402" s="220"/>
    </row>
    <row r="403" ht="15.75" customHeight="1">
      <c r="O403" s="220"/>
    </row>
    <row r="404" ht="15.75" customHeight="1">
      <c r="O404" s="220"/>
    </row>
    <row r="405" ht="15.75" customHeight="1">
      <c r="O405" s="220"/>
    </row>
    <row r="406" ht="15.75" customHeight="1">
      <c r="O406" s="220"/>
    </row>
    <row r="407" ht="15.75" customHeight="1">
      <c r="O407" s="220"/>
    </row>
    <row r="408" ht="15.75" customHeight="1">
      <c r="O408" s="220"/>
    </row>
    <row r="409" ht="15.75" customHeight="1">
      <c r="O409" s="220"/>
    </row>
    <row r="410" ht="15.75" customHeight="1">
      <c r="O410" s="220"/>
    </row>
    <row r="411" ht="15.75" customHeight="1">
      <c r="O411" s="220"/>
    </row>
    <row r="412" ht="15.75" customHeight="1">
      <c r="O412" s="220"/>
    </row>
    <row r="413" ht="15.75" customHeight="1">
      <c r="O413" s="220"/>
    </row>
    <row r="414" ht="15.75" customHeight="1">
      <c r="O414" s="220"/>
    </row>
    <row r="415" ht="15.75" customHeight="1">
      <c r="O415" s="220"/>
    </row>
    <row r="416" ht="15.75" customHeight="1">
      <c r="O416" s="220"/>
    </row>
    <row r="417" ht="15.75" customHeight="1">
      <c r="O417" s="220"/>
    </row>
    <row r="418" ht="15.75" customHeight="1">
      <c r="O418" s="220"/>
    </row>
    <row r="419" ht="15.75" customHeight="1">
      <c r="O419" s="220"/>
    </row>
    <row r="420" ht="15.75" customHeight="1">
      <c r="O420" s="220"/>
    </row>
    <row r="421" ht="15.75" customHeight="1">
      <c r="O421" s="220"/>
    </row>
    <row r="422" ht="15.75" customHeight="1">
      <c r="O422" s="220"/>
    </row>
    <row r="423" ht="15.75" customHeight="1">
      <c r="O423" s="220"/>
    </row>
    <row r="424" ht="15.75" customHeight="1">
      <c r="O424" s="220"/>
    </row>
    <row r="425" ht="15.75" customHeight="1">
      <c r="O425" s="220"/>
    </row>
    <row r="426" ht="15.75" customHeight="1">
      <c r="O426" s="220"/>
    </row>
    <row r="427" ht="15.75" customHeight="1">
      <c r="O427" s="220"/>
    </row>
    <row r="428" ht="15.75" customHeight="1">
      <c r="O428" s="220"/>
    </row>
    <row r="429" ht="15.75" customHeight="1">
      <c r="O429" s="220"/>
    </row>
    <row r="430" ht="15.75" customHeight="1">
      <c r="O430" s="220"/>
    </row>
    <row r="431" ht="15.75" customHeight="1">
      <c r="O431" s="220"/>
    </row>
    <row r="432" ht="15.75" customHeight="1">
      <c r="O432" s="220"/>
    </row>
    <row r="433" ht="15.75" customHeight="1">
      <c r="O433" s="220"/>
    </row>
    <row r="434" ht="15.75" customHeight="1">
      <c r="O434" s="220"/>
    </row>
    <row r="435" ht="15.75" customHeight="1">
      <c r="O435" s="220"/>
    </row>
    <row r="436" ht="15.75" customHeight="1">
      <c r="O436" s="220"/>
    </row>
    <row r="437" ht="15.75" customHeight="1">
      <c r="O437" s="220"/>
    </row>
    <row r="438" ht="15.75" customHeight="1">
      <c r="O438" s="220"/>
    </row>
    <row r="439" ht="15.75" customHeight="1">
      <c r="O439" s="220"/>
    </row>
    <row r="440" ht="15.75" customHeight="1">
      <c r="O440" s="220"/>
    </row>
    <row r="441" ht="15.75" customHeight="1">
      <c r="O441" s="220"/>
    </row>
    <row r="442" ht="15.75" customHeight="1">
      <c r="O442" s="220"/>
    </row>
    <row r="443" ht="15.75" customHeight="1">
      <c r="O443" s="220"/>
    </row>
    <row r="444" ht="15.75" customHeight="1">
      <c r="O444" s="220"/>
    </row>
    <row r="445" ht="15.75" customHeight="1">
      <c r="O445" s="220"/>
    </row>
    <row r="446" ht="15.75" customHeight="1">
      <c r="O446" s="220"/>
    </row>
    <row r="447" ht="15.75" customHeight="1">
      <c r="O447" s="220"/>
    </row>
    <row r="448" ht="15.75" customHeight="1">
      <c r="O448" s="220"/>
    </row>
    <row r="449" ht="15.75" customHeight="1">
      <c r="O449" s="220"/>
    </row>
    <row r="450" ht="15.75" customHeight="1">
      <c r="O450" s="220"/>
    </row>
    <row r="451" ht="15.75" customHeight="1">
      <c r="O451" s="220"/>
    </row>
    <row r="452" ht="15.75" customHeight="1">
      <c r="O452" s="220"/>
    </row>
    <row r="453" ht="15.75" customHeight="1">
      <c r="O453" s="220"/>
    </row>
    <row r="454" ht="15.75" customHeight="1">
      <c r="O454" s="220"/>
    </row>
    <row r="455" ht="15.75" customHeight="1">
      <c r="O455" s="220"/>
    </row>
    <row r="456" ht="15.75" customHeight="1">
      <c r="O456" s="220"/>
    </row>
    <row r="457" ht="15.75" customHeight="1">
      <c r="O457" s="220"/>
    </row>
    <row r="458" ht="15.75" customHeight="1">
      <c r="O458" s="220"/>
    </row>
    <row r="459" ht="15.75" customHeight="1">
      <c r="O459" s="220"/>
    </row>
    <row r="460" ht="15.75" customHeight="1">
      <c r="O460" s="220"/>
    </row>
    <row r="461" ht="15.75" customHeight="1">
      <c r="O461" s="220"/>
    </row>
    <row r="462" ht="15.75" customHeight="1">
      <c r="O462" s="220"/>
    </row>
    <row r="463" ht="15.75" customHeight="1">
      <c r="O463" s="220"/>
    </row>
    <row r="464" ht="15.75" customHeight="1">
      <c r="O464" s="220"/>
    </row>
    <row r="465" ht="15.75" customHeight="1">
      <c r="O465" s="220"/>
    </row>
    <row r="466" ht="15.75" customHeight="1">
      <c r="O466" s="220"/>
    </row>
    <row r="467" ht="15.75" customHeight="1">
      <c r="O467" s="220"/>
    </row>
    <row r="468" ht="15.75" customHeight="1">
      <c r="O468" s="220"/>
    </row>
    <row r="469" ht="15.75" customHeight="1">
      <c r="O469" s="220"/>
    </row>
    <row r="470" ht="15.75" customHeight="1">
      <c r="O470" s="220"/>
    </row>
    <row r="471" ht="15.75" customHeight="1">
      <c r="O471" s="220"/>
    </row>
    <row r="472" ht="15.75" customHeight="1">
      <c r="O472" s="220"/>
    </row>
    <row r="473" ht="15.75" customHeight="1">
      <c r="O473" s="220"/>
    </row>
    <row r="474" ht="15.75" customHeight="1">
      <c r="O474" s="220"/>
    </row>
    <row r="475" ht="15.75" customHeight="1">
      <c r="O475" s="220"/>
    </row>
    <row r="476" ht="15.75" customHeight="1">
      <c r="O476" s="220"/>
    </row>
    <row r="477" ht="15.75" customHeight="1">
      <c r="O477" s="220"/>
    </row>
    <row r="478" ht="15.75" customHeight="1">
      <c r="O478" s="220"/>
    </row>
    <row r="479" ht="15.75" customHeight="1">
      <c r="O479" s="220"/>
    </row>
    <row r="480" ht="15.75" customHeight="1">
      <c r="O480" s="220"/>
    </row>
    <row r="481" ht="15.75" customHeight="1">
      <c r="O481" s="220"/>
    </row>
    <row r="482" ht="15.75" customHeight="1">
      <c r="O482" s="220"/>
    </row>
    <row r="483" ht="15.75" customHeight="1">
      <c r="O483" s="220"/>
    </row>
    <row r="484" ht="15.75" customHeight="1">
      <c r="O484" s="220"/>
    </row>
    <row r="485" ht="15.75" customHeight="1">
      <c r="O485" s="220"/>
    </row>
    <row r="486" ht="15.75" customHeight="1">
      <c r="O486" s="220"/>
    </row>
    <row r="487" ht="15.75" customHeight="1">
      <c r="O487" s="220"/>
    </row>
    <row r="488" ht="15.75" customHeight="1">
      <c r="O488" s="220"/>
    </row>
    <row r="489" ht="15.75" customHeight="1">
      <c r="O489" s="220"/>
    </row>
    <row r="490" ht="15.75" customHeight="1">
      <c r="O490" s="220"/>
    </row>
    <row r="491" ht="15.75" customHeight="1">
      <c r="O491" s="220"/>
    </row>
    <row r="492" ht="15.75" customHeight="1">
      <c r="O492" s="220"/>
    </row>
    <row r="493" ht="15.75" customHeight="1">
      <c r="O493" s="220"/>
    </row>
    <row r="494" ht="15.75" customHeight="1">
      <c r="O494" s="220"/>
    </row>
    <row r="495" ht="15.75" customHeight="1">
      <c r="O495" s="220"/>
    </row>
    <row r="496" ht="15.75" customHeight="1">
      <c r="O496" s="220"/>
    </row>
    <row r="497" ht="15.75" customHeight="1">
      <c r="O497" s="220"/>
    </row>
    <row r="498" ht="15.75" customHeight="1">
      <c r="O498" s="220"/>
    </row>
    <row r="499" ht="15.75" customHeight="1">
      <c r="O499" s="220"/>
    </row>
    <row r="500" ht="15.75" customHeight="1">
      <c r="O500" s="220"/>
    </row>
    <row r="501" ht="15.75" customHeight="1">
      <c r="O501" s="220"/>
    </row>
    <row r="502" ht="15.75" customHeight="1">
      <c r="O502" s="220"/>
    </row>
    <row r="503" ht="15.75" customHeight="1">
      <c r="O503" s="220"/>
    </row>
    <row r="504" ht="15.75" customHeight="1">
      <c r="O504" s="220"/>
    </row>
    <row r="505" ht="15.75" customHeight="1">
      <c r="O505" s="220"/>
    </row>
    <row r="506" ht="15.75" customHeight="1">
      <c r="O506" s="220"/>
    </row>
    <row r="507" ht="15.75" customHeight="1">
      <c r="O507" s="220"/>
    </row>
    <row r="508" ht="15.75" customHeight="1">
      <c r="O508" s="220"/>
    </row>
    <row r="509" ht="15.75" customHeight="1">
      <c r="O509" s="220"/>
    </row>
    <row r="510" ht="15.75" customHeight="1">
      <c r="O510" s="220"/>
    </row>
    <row r="511" ht="15.75" customHeight="1">
      <c r="O511" s="220"/>
    </row>
    <row r="512" ht="15.75" customHeight="1">
      <c r="O512" s="220"/>
    </row>
    <row r="513" ht="15.75" customHeight="1">
      <c r="O513" s="220"/>
    </row>
    <row r="514" ht="15.75" customHeight="1">
      <c r="O514" s="220"/>
    </row>
    <row r="515" ht="15.75" customHeight="1">
      <c r="O515" s="220"/>
    </row>
    <row r="516" ht="15.75" customHeight="1">
      <c r="O516" s="220"/>
    </row>
    <row r="517" ht="15.75" customHeight="1">
      <c r="O517" s="220"/>
    </row>
    <row r="518" ht="15.75" customHeight="1">
      <c r="O518" s="220"/>
    </row>
    <row r="519" ht="15.75" customHeight="1">
      <c r="O519" s="220"/>
    </row>
    <row r="520" ht="15.75" customHeight="1">
      <c r="O520" s="220"/>
    </row>
    <row r="521" ht="15.75" customHeight="1">
      <c r="O521" s="220"/>
    </row>
    <row r="522" ht="15.75" customHeight="1">
      <c r="O522" s="220"/>
    </row>
    <row r="523" ht="15.75" customHeight="1">
      <c r="O523" s="220"/>
    </row>
    <row r="524" ht="15.75" customHeight="1">
      <c r="O524" s="220"/>
    </row>
    <row r="525" ht="15.75" customHeight="1">
      <c r="O525" s="220"/>
    </row>
    <row r="526" ht="15.75" customHeight="1">
      <c r="O526" s="220"/>
    </row>
    <row r="527" ht="15.75" customHeight="1">
      <c r="O527" s="220"/>
    </row>
    <row r="528" ht="15.75" customHeight="1">
      <c r="O528" s="220"/>
    </row>
    <row r="529" ht="15.75" customHeight="1">
      <c r="O529" s="220"/>
    </row>
    <row r="530" ht="15.75" customHeight="1">
      <c r="O530" s="220"/>
    </row>
    <row r="531" ht="15.75" customHeight="1">
      <c r="O531" s="220"/>
    </row>
    <row r="532" ht="15.75" customHeight="1">
      <c r="O532" s="220"/>
    </row>
    <row r="533" ht="15.75" customHeight="1">
      <c r="O533" s="220"/>
    </row>
    <row r="534" ht="15.75" customHeight="1">
      <c r="O534" s="220"/>
    </row>
    <row r="535" ht="15.75" customHeight="1">
      <c r="O535" s="220"/>
    </row>
    <row r="536" ht="15.75" customHeight="1">
      <c r="O536" s="220"/>
    </row>
    <row r="537" ht="15.75" customHeight="1">
      <c r="O537" s="220"/>
    </row>
    <row r="538" ht="15.75" customHeight="1">
      <c r="O538" s="220"/>
    </row>
    <row r="539" ht="15.75" customHeight="1">
      <c r="O539" s="220"/>
    </row>
    <row r="540" ht="15.75" customHeight="1">
      <c r="O540" s="220"/>
    </row>
    <row r="541" ht="15.75" customHeight="1">
      <c r="O541" s="220"/>
    </row>
    <row r="542" ht="15.75" customHeight="1">
      <c r="O542" s="220"/>
    </row>
    <row r="543" ht="15.75" customHeight="1">
      <c r="O543" s="220"/>
    </row>
    <row r="544" ht="15.75" customHeight="1">
      <c r="O544" s="220"/>
    </row>
    <row r="545" ht="15.75" customHeight="1">
      <c r="O545" s="220"/>
    </row>
    <row r="546" ht="15.75" customHeight="1">
      <c r="O546" s="220"/>
    </row>
    <row r="547" ht="15.75" customHeight="1">
      <c r="O547" s="220"/>
    </row>
    <row r="548" ht="15.75" customHeight="1">
      <c r="O548" s="220"/>
    </row>
    <row r="549" ht="15.75" customHeight="1">
      <c r="O549" s="220"/>
    </row>
    <row r="550" ht="15.75" customHeight="1">
      <c r="O550" s="220"/>
    </row>
    <row r="551" ht="15.75" customHeight="1">
      <c r="O551" s="220"/>
    </row>
    <row r="552" ht="15.75" customHeight="1">
      <c r="O552" s="220"/>
    </row>
    <row r="553" ht="15.75" customHeight="1">
      <c r="O553" s="220"/>
    </row>
    <row r="554" ht="15.75" customHeight="1">
      <c r="O554" s="220"/>
    </row>
    <row r="555" ht="15.75" customHeight="1">
      <c r="O555" s="220"/>
    </row>
    <row r="556" ht="15.75" customHeight="1">
      <c r="O556" s="220"/>
    </row>
    <row r="557" ht="15.75" customHeight="1">
      <c r="O557" s="220"/>
    </row>
    <row r="558" ht="15.75" customHeight="1">
      <c r="O558" s="220"/>
    </row>
    <row r="559" ht="15.75" customHeight="1">
      <c r="O559" s="220"/>
    </row>
    <row r="560" ht="15.75" customHeight="1">
      <c r="O560" s="220"/>
    </row>
    <row r="561" ht="15.75" customHeight="1">
      <c r="O561" s="220"/>
    </row>
    <row r="562" ht="15.75" customHeight="1">
      <c r="O562" s="220"/>
    </row>
    <row r="563" ht="15.75" customHeight="1">
      <c r="O563" s="220"/>
    </row>
    <row r="564" ht="15.75" customHeight="1">
      <c r="O564" s="220"/>
    </row>
    <row r="565" ht="15.75" customHeight="1">
      <c r="O565" s="220"/>
    </row>
    <row r="566" ht="15.75" customHeight="1">
      <c r="O566" s="220"/>
    </row>
    <row r="567" ht="15.75" customHeight="1">
      <c r="O567" s="220"/>
    </row>
    <row r="568" ht="15.75" customHeight="1">
      <c r="O568" s="220"/>
    </row>
    <row r="569" ht="15.75" customHeight="1">
      <c r="O569" s="220"/>
    </row>
    <row r="570" ht="15.75" customHeight="1">
      <c r="O570" s="220"/>
    </row>
    <row r="571" ht="15.75" customHeight="1">
      <c r="O571" s="220"/>
    </row>
    <row r="572" ht="15.75" customHeight="1">
      <c r="O572" s="220"/>
    </row>
    <row r="573" ht="15.75" customHeight="1">
      <c r="O573" s="220"/>
    </row>
    <row r="574" ht="15.75" customHeight="1">
      <c r="O574" s="220"/>
    </row>
    <row r="575" ht="15.75" customHeight="1">
      <c r="O575" s="220"/>
    </row>
    <row r="576" ht="15.75" customHeight="1">
      <c r="O576" s="220"/>
    </row>
    <row r="577" ht="15.75" customHeight="1">
      <c r="O577" s="220"/>
    </row>
    <row r="578" ht="15.75" customHeight="1">
      <c r="O578" s="220"/>
    </row>
    <row r="579" ht="15.75" customHeight="1">
      <c r="O579" s="220"/>
    </row>
    <row r="580" ht="15.75" customHeight="1">
      <c r="O580" s="220"/>
    </row>
    <row r="581" ht="15.75" customHeight="1">
      <c r="O581" s="220"/>
    </row>
    <row r="582" ht="15.75" customHeight="1">
      <c r="O582" s="220"/>
    </row>
    <row r="583" ht="15.75" customHeight="1">
      <c r="O583" s="220"/>
    </row>
    <row r="584" ht="15.75" customHeight="1">
      <c r="O584" s="220"/>
    </row>
    <row r="585" ht="15.75" customHeight="1">
      <c r="O585" s="220"/>
    </row>
    <row r="586" ht="15.75" customHeight="1">
      <c r="O586" s="220"/>
    </row>
    <row r="587" ht="15.75" customHeight="1">
      <c r="O587" s="220"/>
    </row>
    <row r="588" ht="15.75" customHeight="1">
      <c r="O588" s="220"/>
    </row>
    <row r="589" ht="15.75" customHeight="1">
      <c r="O589" s="220"/>
    </row>
    <row r="590" ht="15.75" customHeight="1">
      <c r="O590" s="220"/>
    </row>
    <row r="591" ht="15.75" customHeight="1">
      <c r="O591" s="220"/>
    </row>
    <row r="592" ht="15.75" customHeight="1">
      <c r="O592" s="220"/>
    </row>
    <row r="593" ht="15.75" customHeight="1">
      <c r="O593" s="220"/>
    </row>
    <row r="594" ht="15.75" customHeight="1">
      <c r="O594" s="220"/>
    </row>
    <row r="595" ht="15.75" customHeight="1">
      <c r="O595" s="220"/>
    </row>
    <row r="596" ht="15.75" customHeight="1">
      <c r="O596" s="220"/>
    </row>
    <row r="597" ht="15.75" customHeight="1">
      <c r="O597" s="220"/>
    </row>
    <row r="598" ht="15.75" customHeight="1">
      <c r="O598" s="220"/>
    </row>
    <row r="599" ht="15.75" customHeight="1">
      <c r="O599" s="220"/>
    </row>
    <row r="600" ht="15.75" customHeight="1">
      <c r="O600" s="220"/>
    </row>
    <row r="601" ht="15.75" customHeight="1">
      <c r="O601" s="220"/>
    </row>
    <row r="602" ht="15.75" customHeight="1">
      <c r="O602" s="220"/>
    </row>
    <row r="603" ht="15.75" customHeight="1">
      <c r="O603" s="220"/>
    </row>
    <row r="604" ht="15.75" customHeight="1">
      <c r="O604" s="220"/>
    </row>
    <row r="605" ht="15.75" customHeight="1">
      <c r="O605" s="220"/>
    </row>
    <row r="606" ht="15.75" customHeight="1">
      <c r="O606" s="220"/>
    </row>
    <row r="607" ht="15.75" customHeight="1">
      <c r="O607" s="220"/>
    </row>
    <row r="608" ht="15.75" customHeight="1">
      <c r="O608" s="220"/>
    </row>
    <row r="609" ht="15.75" customHeight="1">
      <c r="O609" s="220"/>
    </row>
    <row r="610" ht="15.75" customHeight="1">
      <c r="O610" s="220"/>
    </row>
    <row r="611" ht="15.75" customHeight="1">
      <c r="O611" s="220"/>
    </row>
    <row r="612" ht="15.75" customHeight="1">
      <c r="O612" s="220"/>
    </row>
    <row r="613" ht="15.75" customHeight="1">
      <c r="O613" s="220"/>
    </row>
    <row r="614" ht="15.75" customHeight="1">
      <c r="O614" s="220"/>
    </row>
    <row r="615" ht="15.75" customHeight="1">
      <c r="O615" s="220"/>
    </row>
    <row r="616" ht="15.75" customHeight="1">
      <c r="O616" s="220"/>
    </row>
    <row r="617" ht="15.75" customHeight="1">
      <c r="O617" s="220"/>
    </row>
    <row r="618" ht="15.75" customHeight="1">
      <c r="O618" s="220"/>
    </row>
    <row r="619" ht="15.75" customHeight="1">
      <c r="O619" s="220"/>
    </row>
    <row r="620" ht="15.75" customHeight="1">
      <c r="O620" s="220"/>
    </row>
    <row r="621" ht="15.75" customHeight="1">
      <c r="O621" s="220"/>
    </row>
    <row r="622" ht="15.75" customHeight="1">
      <c r="O622" s="220"/>
    </row>
    <row r="623" ht="15.75" customHeight="1">
      <c r="O623" s="220"/>
    </row>
    <row r="624" ht="15.75" customHeight="1">
      <c r="O624" s="220"/>
    </row>
    <row r="625" ht="15.75" customHeight="1">
      <c r="O625" s="220"/>
    </row>
    <row r="626" ht="15.75" customHeight="1">
      <c r="O626" s="220"/>
    </row>
    <row r="627" ht="15.75" customHeight="1">
      <c r="O627" s="220"/>
    </row>
    <row r="628" ht="15.75" customHeight="1">
      <c r="O628" s="220"/>
    </row>
    <row r="629" ht="15.75" customHeight="1">
      <c r="O629" s="220"/>
    </row>
    <row r="630" ht="15.75" customHeight="1">
      <c r="O630" s="220"/>
    </row>
    <row r="631" ht="15.75" customHeight="1">
      <c r="O631" s="220"/>
    </row>
    <row r="632" ht="15.75" customHeight="1">
      <c r="O632" s="220"/>
    </row>
    <row r="633" ht="15.75" customHeight="1">
      <c r="O633" s="220"/>
    </row>
    <row r="634" ht="15.75" customHeight="1">
      <c r="O634" s="220"/>
    </row>
    <row r="635" ht="15.75" customHeight="1">
      <c r="O635" s="220"/>
    </row>
    <row r="636" ht="15.75" customHeight="1">
      <c r="O636" s="220"/>
    </row>
    <row r="637" ht="15.75" customHeight="1">
      <c r="O637" s="220"/>
    </row>
    <row r="638" ht="15.75" customHeight="1">
      <c r="O638" s="220"/>
    </row>
    <row r="639" ht="15.75" customHeight="1">
      <c r="O639" s="220"/>
    </row>
    <row r="640" ht="15.75" customHeight="1">
      <c r="O640" s="220"/>
    </row>
    <row r="641" ht="15.75" customHeight="1">
      <c r="O641" s="220"/>
    </row>
    <row r="642" ht="15.75" customHeight="1">
      <c r="O642" s="220"/>
    </row>
    <row r="643" ht="15.75" customHeight="1">
      <c r="O643" s="220"/>
    </row>
    <row r="644" ht="15.75" customHeight="1">
      <c r="O644" s="220"/>
    </row>
    <row r="645" ht="15.75" customHeight="1">
      <c r="O645" s="220"/>
    </row>
    <row r="646" ht="15.75" customHeight="1">
      <c r="O646" s="220"/>
    </row>
    <row r="647" ht="15.75" customHeight="1">
      <c r="O647" s="220"/>
    </row>
    <row r="648" ht="15.75" customHeight="1">
      <c r="O648" s="220"/>
    </row>
    <row r="649" ht="15.75" customHeight="1">
      <c r="O649" s="220"/>
    </row>
    <row r="650" ht="15.75" customHeight="1">
      <c r="O650" s="220"/>
    </row>
    <row r="651" ht="15.75" customHeight="1">
      <c r="O651" s="220"/>
    </row>
    <row r="652" ht="15.75" customHeight="1">
      <c r="O652" s="220"/>
    </row>
    <row r="653" ht="15.75" customHeight="1">
      <c r="O653" s="220"/>
    </row>
    <row r="654" ht="15.75" customHeight="1">
      <c r="O654" s="220"/>
    </row>
    <row r="655" ht="15.75" customHeight="1">
      <c r="O655" s="220"/>
    </row>
    <row r="656" ht="15.75" customHeight="1">
      <c r="O656" s="220"/>
    </row>
    <row r="657" ht="15.75" customHeight="1">
      <c r="O657" s="220"/>
    </row>
    <row r="658" ht="15.75" customHeight="1">
      <c r="O658" s="220"/>
    </row>
    <row r="659" ht="15.75" customHeight="1">
      <c r="O659" s="220"/>
    </row>
    <row r="660" ht="15.75" customHeight="1">
      <c r="O660" s="220"/>
    </row>
    <row r="661" ht="15.75" customHeight="1">
      <c r="O661" s="220"/>
    </row>
    <row r="662" ht="15.75" customHeight="1">
      <c r="O662" s="220"/>
    </row>
    <row r="663" ht="15.75" customHeight="1">
      <c r="O663" s="220"/>
    </row>
    <row r="664" ht="15.75" customHeight="1">
      <c r="O664" s="220"/>
    </row>
    <row r="665" ht="15.75" customHeight="1">
      <c r="O665" s="220"/>
    </row>
    <row r="666" ht="15.75" customHeight="1">
      <c r="O666" s="220"/>
    </row>
    <row r="667" ht="15.75" customHeight="1">
      <c r="O667" s="220"/>
    </row>
    <row r="668" ht="15.75" customHeight="1">
      <c r="O668" s="220"/>
    </row>
    <row r="669" ht="15.75" customHeight="1">
      <c r="O669" s="220"/>
    </row>
    <row r="670" ht="15.75" customHeight="1">
      <c r="O670" s="220"/>
    </row>
    <row r="671" ht="15.75" customHeight="1">
      <c r="O671" s="220"/>
    </row>
    <row r="672" ht="15.75" customHeight="1">
      <c r="O672" s="220"/>
    </row>
    <row r="673" ht="15.75" customHeight="1">
      <c r="O673" s="220"/>
    </row>
    <row r="674" ht="15.75" customHeight="1">
      <c r="O674" s="220"/>
    </row>
    <row r="675" ht="15.75" customHeight="1">
      <c r="O675" s="220"/>
    </row>
    <row r="676" ht="15.75" customHeight="1">
      <c r="O676" s="220"/>
    </row>
    <row r="677" ht="15.75" customHeight="1">
      <c r="O677" s="220"/>
    </row>
    <row r="678" ht="15.75" customHeight="1">
      <c r="O678" s="220"/>
    </row>
    <row r="679" ht="15.75" customHeight="1">
      <c r="O679" s="220"/>
    </row>
    <row r="680" ht="15.75" customHeight="1">
      <c r="O680" s="220"/>
    </row>
    <row r="681" ht="15.75" customHeight="1">
      <c r="O681" s="220"/>
    </row>
    <row r="682" ht="15.75" customHeight="1">
      <c r="O682" s="220"/>
    </row>
    <row r="683" ht="15.75" customHeight="1">
      <c r="O683" s="220"/>
    </row>
    <row r="684" ht="15.75" customHeight="1">
      <c r="O684" s="220"/>
    </row>
    <row r="685" ht="15.75" customHeight="1">
      <c r="O685" s="220"/>
    </row>
    <row r="686" ht="15.75" customHeight="1">
      <c r="O686" s="220"/>
    </row>
    <row r="687" ht="15.75" customHeight="1">
      <c r="O687" s="220"/>
    </row>
    <row r="688" ht="15.75" customHeight="1">
      <c r="O688" s="220"/>
    </row>
    <row r="689" ht="15.75" customHeight="1">
      <c r="O689" s="220"/>
    </row>
    <row r="690" ht="15.75" customHeight="1">
      <c r="O690" s="220"/>
    </row>
    <row r="691" ht="15.75" customHeight="1">
      <c r="O691" s="220"/>
    </row>
    <row r="692" ht="15.75" customHeight="1">
      <c r="O692" s="220"/>
    </row>
    <row r="693" ht="15.75" customHeight="1">
      <c r="O693" s="220"/>
    </row>
    <row r="694" ht="15.75" customHeight="1">
      <c r="O694" s="220"/>
    </row>
    <row r="695" ht="15.75" customHeight="1">
      <c r="O695" s="220"/>
    </row>
    <row r="696" ht="15.75" customHeight="1">
      <c r="O696" s="220"/>
    </row>
    <row r="697" ht="15.75" customHeight="1">
      <c r="O697" s="220"/>
    </row>
    <row r="698" ht="15.75" customHeight="1">
      <c r="O698" s="220"/>
    </row>
    <row r="699" ht="15.75" customHeight="1">
      <c r="O699" s="220"/>
    </row>
    <row r="700" ht="15.75" customHeight="1">
      <c r="O700" s="220"/>
    </row>
    <row r="701" ht="15.75" customHeight="1">
      <c r="O701" s="220"/>
    </row>
    <row r="702" ht="15.75" customHeight="1">
      <c r="O702" s="220"/>
    </row>
    <row r="703" ht="15.75" customHeight="1">
      <c r="O703" s="220"/>
    </row>
    <row r="704" ht="15.75" customHeight="1">
      <c r="O704" s="220"/>
    </row>
    <row r="705" ht="15.75" customHeight="1">
      <c r="O705" s="220"/>
    </row>
    <row r="706" ht="15.75" customHeight="1">
      <c r="O706" s="220"/>
    </row>
    <row r="707" ht="15.75" customHeight="1">
      <c r="O707" s="220"/>
    </row>
    <row r="708" ht="15.75" customHeight="1">
      <c r="O708" s="220"/>
    </row>
    <row r="709" ht="15.75" customHeight="1">
      <c r="O709" s="220"/>
    </row>
    <row r="710" ht="15.75" customHeight="1">
      <c r="O710" s="220"/>
    </row>
    <row r="711" ht="15.75" customHeight="1">
      <c r="O711" s="220"/>
    </row>
    <row r="712" ht="15.75" customHeight="1">
      <c r="O712" s="220"/>
    </row>
    <row r="713" ht="15.75" customHeight="1">
      <c r="O713" s="220"/>
    </row>
    <row r="714" ht="15.75" customHeight="1">
      <c r="O714" s="220"/>
    </row>
    <row r="715" ht="15.75" customHeight="1">
      <c r="O715" s="220"/>
    </row>
    <row r="716" ht="15.75" customHeight="1">
      <c r="O716" s="220"/>
    </row>
    <row r="717" ht="15.75" customHeight="1">
      <c r="O717" s="220"/>
    </row>
    <row r="718" ht="15.75" customHeight="1">
      <c r="O718" s="220"/>
    </row>
    <row r="719" ht="15.75" customHeight="1">
      <c r="O719" s="220"/>
    </row>
    <row r="720" ht="15.75" customHeight="1">
      <c r="O720" s="220"/>
    </row>
    <row r="721" ht="15.75" customHeight="1">
      <c r="O721" s="220"/>
    </row>
    <row r="722" ht="15.75" customHeight="1">
      <c r="O722" s="220"/>
    </row>
    <row r="723" ht="15.75" customHeight="1">
      <c r="O723" s="220"/>
    </row>
    <row r="724" ht="15.75" customHeight="1">
      <c r="O724" s="220"/>
    </row>
    <row r="725" ht="15.75" customHeight="1">
      <c r="O725" s="220"/>
    </row>
    <row r="726" ht="15.75" customHeight="1">
      <c r="O726" s="220"/>
    </row>
    <row r="727" ht="15.75" customHeight="1">
      <c r="O727" s="220"/>
    </row>
    <row r="728" ht="15.75" customHeight="1">
      <c r="O728" s="220"/>
    </row>
    <row r="729" ht="15.75" customHeight="1">
      <c r="O729" s="220"/>
    </row>
    <row r="730" ht="15.75" customHeight="1">
      <c r="O730" s="220"/>
    </row>
    <row r="731" ht="15.75" customHeight="1">
      <c r="O731" s="220"/>
    </row>
    <row r="732" ht="15.75" customHeight="1">
      <c r="O732" s="220"/>
    </row>
    <row r="733" ht="15.75" customHeight="1">
      <c r="O733" s="220"/>
    </row>
    <row r="734" ht="15.75" customHeight="1">
      <c r="O734" s="220"/>
    </row>
    <row r="735" ht="15.75" customHeight="1">
      <c r="O735" s="220"/>
    </row>
    <row r="736" ht="15.75" customHeight="1">
      <c r="O736" s="220"/>
    </row>
    <row r="737" ht="15.75" customHeight="1">
      <c r="O737" s="220"/>
    </row>
    <row r="738" ht="15.75" customHeight="1">
      <c r="O738" s="220"/>
    </row>
    <row r="739" ht="15.75" customHeight="1">
      <c r="O739" s="220"/>
    </row>
    <row r="740" ht="15.75" customHeight="1">
      <c r="O740" s="220"/>
    </row>
    <row r="741" ht="15.75" customHeight="1">
      <c r="O741" s="220"/>
    </row>
    <row r="742" ht="15.75" customHeight="1">
      <c r="O742" s="220"/>
    </row>
    <row r="743" ht="15.75" customHeight="1">
      <c r="O743" s="220"/>
    </row>
    <row r="744" ht="15.75" customHeight="1">
      <c r="O744" s="220"/>
    </row>
    <row r="745" ht="15.75" customHeight="1">
      <c r="O745" s="220"/>
    </row>
    <row r="746" ht="15.75" customHeight="1">
      <c r="O746" s="220"/>
    </row>
    <row r="747" ht="15.75" customHeight="1">
      <c r="O747" s="220"/>
    </row>
    <row r="748" ht="15.75" customHeight="1">
      <c r="O748" s="220"/>
    </row>
    <row r="749" ht="15.75" customHeight="1">
      <c r="O749" s="220"/>
    </row>
    <row r="750" ht="15.75" customHeight="1">
      <c r="O750" s="220"/>
    </row>
    <row r="751" ht="15.75" customHeight="1">
      <c r="O751" s="220"/>
    </row>
    <row r="752" ht="15.75" customHeight="1">
      <c r="O752" s="220"/>
    </row>
    <row r="753" ht="15.75" customHeight="1">
      <c r="O753" s="220"/>
    </row>
    <row r="754" ht="15.75" customHeight="1">
      <c r="O754" s="220"/>
    </row>
    <row r="755" ht="15.75" customHeight="1">
      <c r="O755" s="220"/>
    </row>
    <row r="756" ht="15.75" customHeight="1">
      <c r="O756" s="220"/>
    </row>
    <row r="757" ht="15.75" customHeight="1">
      <c r="O757" s="220"/>
    </row>
    <row r="758" ht="15.75" customHeight="1">
      <c r="O758" s="220"/>
    </row>
    <row r="759" ht="15.75" customHeight="1">
      <c r="O759" s="220"/>
    </row>
    <row r="760" ht="15.75" customHeight="1">
      <c r="O760" s="220"/>
    </row>
    <row r="761" ht="15.75" customHeight="1">
      <c r="O761" s="220"/>
    </row>
    <row r="762" ht="15.75" customHeight="1">
      <c r="O762" s="220"/>
    </row>
    <row r="763" ht="15.75" customHeight="1">
      <c r="O763" s="220"/>
    </row>
    <row r="764" ht="15.75" customHeight="1">
      <c r="O764" s="220"/>
    </row>
    <row r="765" ht="15.75" customHeight="1">
      <c r="O765" s="220"/>
    </row>
    <row r="766" ht="15.75" customHeight="1">
      <c r="O766" s="220"/>
    </row>
    <row r="767" ht="15.75" customHeight="1">
      <c r="O767" s="220"/>
    </row>
    <row r="768" ht="15.75" customHeight="1">
      <c r="O768" s="220"/>
    </row>
    <row r="769" ht="15.75" customHeight="1">
      <c r="O769" s="220"/>
    </row>
    <row r="770" ht="15.75" customHeight="1">
      <c r="O770" s="220"/>
    </row>
    <row r="771" ht="15.75" customHeight="1">
      <c r="O771" s="220"/>
    </row>
    <row r="772" ht="15.75" customHeight="1">
      <c r="O772" s="220"/>
    </row>
    <row r="773" ht="15.75" customHeight="1">
      <c r="O773" s="220"/>
    </row>
    <row r="774" ht="15.75" customHeight="1">
      <c r="O774" s="220"/>
    </row>
    <row r="775" ht="15.75" customHeight="1">
      <c r="O775" s="220"/>
    </row>
    <row r="776" ht="15.75" customHeight="1">
      <c r="O776" s="220"/>
    </row>
    <row r="777" ht="15.75" customHeight="1">
      <c r="O777" s="220"/>
    </row>
    <row r="778" ht="15.75" customHeight="1">
      <c r="O778" s="220"/>
    </row>
    <row r="779" ht="15.75" customHeight="1">
      <c r="O779" s="220"/>
    </row>
    <row r="780" ht="15.75" customHeight="1">
      <c r="O780" s="220"/>
    </row>
    <row r="781" ht="15.75" customHeight="1">
      <c r="O781" s="220"/>
    </row>
    <row r="782" ht="15.75" customHeight="1">
      <c r="O782" s="220"/>
    </row>
    <row r="783" ht="15.75" customHeight="1">
      <c r="O783" s="220"/>
    </row>
    <row r="784" ht="15.75" customHeight="1">
      <c r="O784" s="220"/>
    </row>
    <row r="785" ht="15.75" customHeight="1">
      <c r="O785" s="220"/>
    </row>
    <row r="786" ht="15.75" customHeight="1">
      <c r="O786" s="220"/>
    </row>
    <row r="787" ht="15.75" customHeight="1">
      <c r="O787" s="220"/>
    </row>
    <row r="788" ht="15.75" customHeight="1">
      <c r="O788" s="220"/>
    </row>
    <row r="789" ht="15.75" customHeight="1">
      <c r="O789" s="220"/>
    </row>
    <row r="790" ht="15.75" customHeight="1">
      <c r="O790" s="220"/>
    </row>
    <row r="791" ht="15.75" customHeight="1">
      <c r="O791" s="220"/>
    </row>
    <row r="792" ht="15.75" customHeight="1">
      <c r="O792" s="220"/>
    </row>
    <row r="793" ht="15.75" customHeight="1">
      <c r="O793" s="220"/>
    </row>
    <row r="794" ht="15.75" customHeight="1">
      <c r="O794" s="220"/>
    </row>
    <row r="795" ht="15.75" customHeight="1">
      <c r="O795" s="220"/>
    </row>
    <row r="796" ht="15.75" customHeight="1">
      <c r="O796" s="220"/>
    </row>
    <row r="797" ht="15.75" customHeight="1">
      <c r="O797" s="220"/>
    </row>
    <row r="798" ht="15.75" customHeight="1">
      <c r="O798" s="220"/>
    </row>
    <row r="799" ht="15.75" customHeight="1">
      <c r="O799" s="220"/>
    </row>
    <row r="800" ht="15.75" customHeight="1">
      <c r="O800" s="220"/>
    </row>
    <row r="801" ht="15.75" customHeight="1">
      <c r="O801" s="220"/>
    </row>
    <row r="802" ht="15.75" customHeight="1">
      <c r="O802" s="220"/>
    </row>
    <row r="803" ht="15.75" customHeight="1">
      <c r="O803" s="220"/>
    </row>
    <row r="804" ht="15.75" customHeight="1">
      <c r="O804" s="220"/>
    </row>
    <row r="805" ht="15.75" customHeight="1">
      <c r="O805" s="220"/>
    </row>
    <row r="806" ht="15.75" customHeight="1">
      <c r="O806" s="220"/>
    </row>
    <row r="807" ht="15.75" customHeight="1">
      <c r="O807" s="220"/>
    </row>
    <row r="808" ht="15.75" customHeight="1">
      <c r="O808" s="220"/>
    </row>
    <row r="809" ht="15.75" customHeight="1">
      <c r="O809" s="220"/>
    </row>
    <row r="810" ht="15.75" customHeight="1">
      <c r="O810" s="220"/>
    </row>
    <row r="811" ht="15.75" customHeight="1">
      <c r="O811" s="220"/>
    </row>
    <row r="812" ht="15.75" customHeight="1">
      <c r="O812" s="220"/>
    </row>
    <row r="813" ht="15.75" customHeight="1">
      <c r="O813" s="220"/>
    </row>
    <row r="814" ht="15.75" customHeight="1">
      <c r="O814" s="220"/>
    </row>
    <row r="815" ht="15.75" customHeight="1">
      <c r="O815" s="220"/>
    </row>
    <row r="816" ht="15.75" customHeight="1">
      <c r="O816" s="220"/>
    </row>
    <row r="817" ht="15.75" customHeight="1">
      <c r="O817" s="220"/>
    </row>
    <row r="818" ht="15.75" customHeight="1">
      <c r="O818" s="220"/>
    </row>
    <row r="819" ht="15.75" customHeight="1">
      <c r="O819" s="220"/>
    </row>
    <row r="820" ht="15.75" customHeight="1">
      <c r="O820" s="220"/>
    </row>
    <row r="821" ht="15.75" customHeight="1">
      <c r="O821" s="220"/>
    </row>
    <row r="822" ht="15.75" customHeight="1">
      <c r="O822" s="220"/>
    </row>
    <row r="823" ht="15.75" customHeight="1">
      <c r="O823" s="220"/>
    </row>
    <row r="824" ht="15.75" customHeight="1">
      <c r="O824" s="220"/>
    </row>
    <row r="825" ht="15.75" customHeight="1">
      <c r="O825" s="220"/>
    </row>
    <row r="826" ht="15.75" customHeight="1">
      <c r="O826" s="220"/>
    </row>
    <row r="827" ht="15.75" customHeight="1">
      <c r="O827" s="220"/>
    </row>
    <row r="828" ht="15.75" customHeight="1">
      <c r="O828" s="220"/>
    </row>
    <row r="829" ht="15.75" customHeight="1">
      <c r="O829" s="220"/>
    </row>
    <row r="830" ht="15.75" customHeight="1">
      <c r="O830" s="220"/>
    </row>
    <row r="831" ht="15.75" customHeight="1">
      <c r="O831" s="220"/>
    </row>
    <row r="832" ht="15.75" customHeight="1">
      <c r="O832" s="220"/>
    </row>
    <row r="833" ht="15.75" customHeight="1">
      <c r="O833" s="220"/>
    </row>
    <row r="834" ht="15.75" customHeight="1">
      <c r="O834" s="220"/>
    </row>
    <row r="835" ht="15.75" customHeight="1">
      <c r="O835" s="220"/>
    </row>
    <row r="836" ht="15.75" customHeight="1">
      <c r="O836" s="220"/>
    </row>
    <row r="837" ht="15.75" customHeight="1">
      <c r="O837" s="220"/>
    </row>
    <row r="838" ht="15.75" customHeight="1">
      <c r="O838" s="220"/>
    </row>
    <row r="839" ht="15.75" customHeight="1">
      <c r="O839" s="220"/>
    </row>
    <row r="840" ht="15.75" customHeight="1">
      <c r="O840" s="220"/>
    </row>
    <row r="841" ht="15.75" customHeight="1">
      <c r="O841" s="220"/>
    </row>
    <row r="842" ht="15.75" customHeight="1">
      <c r="O842" s="220"/>
    </row>
    <row r="843" ht="15.75" customHeight="1">
      <c r="O843" s="220"/>
    </row>
    <row r="844" ht="15.75" customHeight="1">
      <c r="O844" s="220"/>
    </row>
    <row r="845" ht="15.75" customHeight="1">
      <c r="O845" s="220"/>
    </row>
    <row r="846" ht="15.75" customHeight="1">
      <c r="O846" s="220"/>
    </row>
    <row r="847" ht="15.75" customHeight="1">
      <c r="O847" s="220"/>
    </row>
    <row r="848" ht="15.75" customHeight="1">
      <c r="O848" s="220"/>
    </row>
    <row r="849" ht="15.75" customHeight="1">
      <c r="O849" s="220"/>
    </row>
    <row r="850" ht="15.75" customHeight="1">
      <c r="O850" s="220"/>
    </row>
    <row r="851" ht="15.75" customHeight="1">
      <c r="O851" s="220"/>
    </row>
    <row r="852" ht="15.75" customHeight="1">
      <c r="O852" s="220"/>
    </row>
    <row r="853" ht="15.75" customHeight="1">
      <c r="O853" s="220"/>
    </row>
    <row r="854" ht="15.75" customHeight="1">
      <c r="O854" s="220"/>
    </row>
    <row r="855" ht="15.75" customHeight="1">
      <c r="O855" s="220"/>
    </row>
    <row r="856" ht="15.75" customHeight="1">
      <c r="O856" s="220"/>
    </row>
    <row r="857" ht="15.75" customHeight="1">
      <c r="O857" s="220"/>
    </row>
    <row r="858" ht="15.75" customHeight="1">
      <c r="O858" s="220"/>
    </row>
    <row r="859" ht="15.75" customHeight="1">
      <c r="O859" s="220"/>
    </row>
    <row r="860" ht="15.75" customHeight="1">
      <c r="O860" s="220"/>
    </row>
    <row r="861" ht="15.75" customHeight="1">
      <c r="O861" s="220"/>
    </row>
    <row r="862" ht="15.75" customHeight="1">
      <c r="O862" s="220"/>
    </row>
    <row r="863" ht="15.75" customHeight="1">
      <c r="O863" s="220"/>
    </row>
    <row r="864" ht="15.75" customHeight="1">
      <c r="O864" s="220"/>
    </row>
    <row r="865" ht="15.75" customHeight="1">
      <c r="O865" s="220"/>
    </row>
    <row r="866" ht="15.75" customHeight="1">
      <c r="O866" s="220"/>
    </row>
    <row r="867" ht="15.75" customHeight="1">
      <c r="O867" s="220"/>
    </row>
    <row r="868" ht="15.75" customHeight="1">
      <c r="O868" s="220"/>
    </row>
    <row r="869" ht="15.75" customHeight="1">
      <c r="O869" s="220"/>
    </row>
    <row r="870" ht="15.75" customHeight="1">
      <c r="O870" s="220"/>
    </row>
    <row r="871" ht="15.75" customHeight="1">
      <c r="O871" s="220"/>
    </row>
    <row r="872" ht="15.75" customHeight="1">
      <c r="O872" s="220"/>
    </row>
    <row r="873" ht="15.75" customHeight="1">
      <c r="O873" s="220"/>
    </row>
    <row r="874" ht="15.75" customHeight="1">
      <c r="O874" s="220"/>
    </row>
    <row r="875" ht="15.75" customHeight="1">
      <c r="O875" s="220"/>
    </row>
    <row r="876" ht="15.75" customHeight="1">
      <c r="O876" s="220"/>
    </row>
    <row r="877" ht="15.75" customHeight="1">
      <c r="O877" s="220"/>
    </row>
    <row r="878" ht="15.75" customHeight="1">
      <c r="O878" s="220"/>
    </row>
    <row r="879" ht="15.75" customHeight="1">
      <c r="O879" s="220"/>
    </row>
    <row r="880" ht="15.75" customHeight="1">
      <c r="O880" s="220"/>
    </row>
    <row r="881" ht="15.75" customHeight="1">
      <c r="O881" s="220"/>
    </row>
    <row r="882" ht="15.75" customHeight="1">
      <c r="O882" s="220"/>
    </row>
    <row r="883" ht="15.75" customHeight="1">
      <c r="O883" s="220"/>
    </row>
    <row r="884" ht="15.75" customHeight="1">
      <c r="O884" s="220"/>
    </row>
    <row r="885" ht="15.75" customHeight="1">
      <c r="O885" s="220"/>
    </row>
    <row r="886" ht="15.75" customHeight="1">
      <c r="O886" s="220"/>
    </row>
    <row r="887" ht="15.75" customHeight="1">
      <c r="O887" s="220"/>
    </row>
    <row r="888" ht="15.75" customHeight="1">
      <c r="O888" s="220"/>
    </row>
    <row r="889" ht="15.75" customHeight="1">
      <c r="O889" s="220"/>
    </row>
    <row r="890" ht="15.75" customHeight="1">
      <c r="O890" s="220"/>
    </row>
    <row r="891" ht="15.75" customHeight="1">
      <c r="O891" s="220"/>
    </row>
    <row r="892" ht="15.75" customHeight="1">
      <c r="O892" s="220"/>
    </row>
    <row r="893" ht="15.75" customHeight="1">
      <c r="O893" s="220"/>
    </row>
    <row r="894" ht="15.75" customHeight="1">
      <c r="O894" s="220"/>
    </row>
    <row r="895" ht="15.75" customHeight="1">
      <c r="O895" s="220"/>
    </row>
    <row r="896" ht="15.75" customHeight="1">
      <c r="O896" s="220"/>
    </row>
    <row r="897" ht="15.75" customHeight="1">
      <c r="O897" s="220"/>
    </row>
    <row r="898" ht="15.75" customHeight="1">
      <c r="O898" s="220"/>
    </row>
    <row r="899" ht="15.75" customHeight="1">
      <c r="O899" s="220"/>
    </row>
    <row r="900" ht="15.75" customHeight="1">
      <c r="O900" s="220"/>
    </row>
    <row r="901" ht="15.75" customHeight="1">
      <c r="O901" s="220"/>
    </row>
    <row r="902" ht="15.75" customHeight="1">
      <c r="O902" s="220"/>
    </row>
    <row r="903" ht="15.75" customHeight="1">
      <c r="O903" s="220"/>
    </row>
    <row r="904" ht="15.75" customHeight="1">
      <c r="O904" s="220"/>
    </row>
    <row r="905" ht="15.75" customHeight="1">
      <c r="O905" s="220"/>
    </row>
    <row r="906" ht="15.75" customHeight="1">
      <c r="O906" s="220"/>
    </row>
    <row r="907" ht="15.75" customHeight="1">
      <c r="O907" s="220"/>
    </row>
    <row r="908" ht="15.75" customHeight="1">
      <c r="O908" s="220"/>
    </row>
    <row r="909" ht="15.75" customHeight="1">
      <c r="O909" s="220"/>
    </row>
    <row r="910" ht="15.75" customHeight="1">
      <c r="O910" s="220"/>
    </row>
    <row r="911" ht="15.75" customHeight="1">
      <c r="O911" s="220"/>
    </row>
    <row r="912" ht="15.75" customHeight="1">
      <c r="O912" s="220"/>
    </row>
    <row r="913" ht="15.75" customHeight="1">
      <c r="O913" s="220"/>
    </row>
    <row r="914" ht="15.75" customHeight="1">
      <c r="O914" s="220"/>
    </row>
    <row r="915" ht="15.75" customHeight="1">
      <c r="O915" s="220"/>
    </row>
    <row r="916" ht="15.75" customHeight="1">
      <c r="O916" s="220"/>
    </row>
    <row r="917" ht="15.75" customHeight="1">
      <c r="O917" s="220"/>
    </row>
    <row r="918" ht="15.75" customHeight="1">
      <c r="O918" s="220"/>
    </row>
    <row r="919" ht="15.75" customHeight="1">
      <c r="O919" s="220"/>
    </row>
    <row r="920" ht="15.75" customHeight="1">
      <c r="O920" s="220"/>
    </row>
    <row r="921" ht="15.75" customHeight="1">
      <c r="O921" s="220"/>
    </row>
    <row r="922" ht="15.75" customHeight="1">
      <c r="O922" s="220"/>
    </row>
    <row r="923" ht="15.75" customHeight="1">
      <c r="O923" s="220"/>
    </row>
    <row r="924" ht="15.75" customHeight="1">
      <c r="O924" s="220"/>
    </row>
    <row r="925" ht="15.75" customHeight="1">
      <c r="O925" s="220"/>
    </row>
    <row r="926" ht="15.75" customHeight="1">
      <c r="O926" s="220"/>
    </row>
    <row r="927" ht="15.75" customHeight="1">
      <c r="O927" s="220"/>
    </row>
    <row r="928" ht="15.75" customHeight="1">
      <c r="O928" s="220"/>
    </row>
    <row r="929" ht="15.75" customHeight="1">
      <c r="O929" s="220"/>
    </row>
    <row r="930" ht="15.75" customHeight="1">
      <c r="O930" s="220"/>
    </row>
    <row r="931" ht="15.75" customHeight="1">
      <c r="O931" s="220"/>
    </row>
    <row r="932" ht="15.75" customHeight="1">
      <c r="O932" s="220"/>
    </row>
    <row r="933" ht="15.75" customHeight="1">
      <c r="O933" s="220"/>
    </row>
    <row r="934" ht="15.75" customHeight="1">
      <c r="O934" s="220"/>
    </row>
    <row r="935" ht="15.75" customHeight="1">
      <c r="O935" s="220"/>
    </row>
    <row r="936" ht="15.75" customHeight="1">
      <c r="O936" s="220"/>
    </row>
    <row r="937" ht="15.75" customHeight="1">
      <c r="O937" s="220"/>
    </row>
    <row r="938" ht="15.75" customHeight="1">
      <c r="O938" s="220"/>
    </row>
    <row r="939" ht="15.75" customHeight="1">
      <c r="O939" s="220"/>
    </row>
    <row r="940" ht="15.75" customHeight="1">
      <c r="O940" s="220"/>
    </row>
    <row r="941" ht="15.75" customHeight="1">
      <c r="O941" s="220"/>
    </row>
    <row r="942" ht="15.75" customHeight="1">
      <c r="O942" s="220"/>
    </row>
    <row r="943" ht="15.75" customHeight="1">
      <c r="O943" s="220"/>
    </row>
    <row r="944" ht="15.75" customHeight="1">
      <c r="O944" s="220"/>
    </row>
    <row r="945" ht="15.75" customHeight="1">
      <c r="O945" s="220"/>
    </row>
    <row r="946" ht="15.75" customHeight="1">
      <c r="O946" s="220"/>
    </row>
    <row r="947" ht="15.75" customHeight="1">
      <c r="O947" s="220"/>
    </row>
    <row r="948" ht="15.75" customHeight="1">
      <c r="O948" s="220"/>
    </row>
    <row r="949" ht="15.75" customHeight="1">
      <c r="O949" s="220"/>
    </row>
    <row r="950" ht="15.75" customHeight="1">
      <c r="O950" s="220"/>
    </row>
    <row r="951" ht="15.75" customHeight="1">
      <c r="O951" s="220"/>
    </row>
    <row r="952" ht="15.75" customHeight="1">
      <c r="O952" s="220"/>
    </row>
    <row r="953" ht="15.75" customHeight="1">
      <c r="O953" s="220"/>
    </row>
    <row r="954" ht="15.75" customHeight="1">
      <c r="O954" s="220"/>
    </row>
    <row r="955" ht="15.75" customHeight="1">
      <c r="O955" s="220"/>
    </row>
    <row r="956" ht="15.75" customHeight="1">
      <c r="O956" s="220"/>
    </row>
    <row r="957" ht="15.75" customHeight="1">
      <c r="O957" s="220"/>
    </row>
    <row r="958" ht="15.75" customHeight="1">
      <c r="O958" s="220"/>
    </row>
    <row r="959" ht="15.75" customHeight="1">
      <c r="O959" s="220"/>
    </row>
    <row r="960" ht="15.75" customHeight="1">
      <c r="O960" s="220"/>
    </row>
    <row r="961" ht="15.75" customHeight="1">
      <c r="O961" s="220"/>
    </row>
    <row r="962" ht="15.75" customHeight="1">
      <c r="O962" s="220"/>
    </row>
    <row r="963" ht="15.75" customHeight="1">
      <c r="O963" s="220"/>
    </row>
    <row r="964" ht="15.75" customHeight="1">
      <c r="O964" s="220"/>
    </row>
    <row r="965" ht="15.75" customHeight="1">
      <c r="O965" s="220"/>
    </row>
    <row r="966" ht="15.75" customHeight="1">
      <c r="O966" s="220"/>
    </row>
    <row r="967" ht="15.75" customHeight="1">
      <c r="O967" s="220"/>
    </row>
    <row r="968" ht="15.75" customHeight="1">
      <c r="O968" s="220"/>
    </row>
    <row r="969" ht="15.75" customHeight="1">
      <c r="O969" s="220"/>
    </row>
    <row r="970" ht="15.75" customHeight="1">
      <c r="O970" s="220"/>
    </row>
    <row r="971" ht="15.75" customHeight="1">
      <c r="O971" s="220"/>
    </row>
    <row r="972" ht="15.75" customHeight="1">
      <c r="O972" s="220"/>
    </row>
    <row r="973" ht="15.75" customHeight="1">
      <c r="O973" s="220"/>
    </row>
    <row r="974" ht="15.75" customHeight="1">
      <c r="O974" s="220"/>
    </row>
    <row r="975" ht="15.75" customHeight="1">
      <c r="O975" s="220"/>
    </row>
    <row r="976" ht="15.75" customHeight="1">
      <c r="O976" s="220"/>
    </row>
    <row r="977" ht="15.75" customHeight="1">
      <c r="O977" s="220"/>
    </row>
    <row r="978" ht="15.75" customHeight="1">
      <c r="O978" s="220"/>
    </row>
    <row r="979" ht="15.75" customHeight="1">
      <c r="O979" s="220"/>
    </row>
    <row r="980" ht="15.75" customHeight="1">
      <c r="O980" s="220"/>
    </row>
    <row r="981" ht="15.75" customHeight="1">
      <c r="O981" s="220"/>
    </row>
    <row r="982" ht="15.75" customHeight="1">
      <c r="O982" s="220"/>
    </row>
    <row r="983" ht="15.75" customHeight="1">
      <c r="O983" s="220"/>
    </row>
    <row r="984" ht="15.75" customHeight="1">
      <c r="O984" s="220"/>
    </row>
    <row r="985" ht="15.75" customHeight="1">
      <c r="O985" s="220"/>
    </row>
    <row r="986" ht="15.75" customHeight="1">
      <c r="O986" s="220"/>
    </row>
    <row r="987" ht="15.75" customHeight="1">
      <c r="O987" s="220"/>
    </row>
    <row r="988" ht="15.75" customHeight="1">
      <c r="O988" s="220"/>
    </row>
    <row r="989" ht="15.75" customHeight="1">
      <c r="O989" s="220"/>
    </row>
    <row r="990" ht="15.75" customHeight="1">
      <c r="O990" s="220"/>
    </row>
    <row r="991" ht="15.75" customHeight="1">
      <c r="O991" s="220"/>
    </row>
    <row r="992" ht="15.75" customHeight="1">
      <c r="O992" s="220"/>
    </row>
    <row r="993" ht="15.75" customHeight="1">
      <c r="O993" s="220"/>
    </row>
    <row r="994" ht="15.75" customHeight="1">
      <c r="O994" s="220"/>
    </row>
  </sheetData>
  <autoFilter ref="$A$1:$Z$994">
    <filterColumn colId="17">
      <filters blank="1">
        <filter val="ACTIVO"/>
      </filters>
    </filterColumn>
  </autoFilter>
  <dataValidations>
    <dataValidation type="list" allowBlank="1" showErrorMessage="1" sqref="I2:I65">
      <formula1>Hoja!$C$2:$C$3</formula1>
    </dataValidation>
    <dataValidation type="list" allowBlank="1" showErrorMessage="1" sqref="N2:N65">
      <formula1>Hoja!$A$2:$A$3</formula1>
    </dataValidation>
    <dataValidation type="list" allowBlank="1" showErrorMessage="1" sqref="L2:L65">
      <formula1>Hoja!$F$2:$F$5</formula1>
    </dataValidation>
    <dataValidation type="list" allowBlank="1" showErrorMessage="1" sqref="M2:M65">
      <formula1>Hoja!$E$2:$E$11</formula1>
    </dataValidation>
    <dataValidation type="list" allowBlank="1" showErrorMessage="1" sqref="U2:U42 U45 U58:U59 U61 R2:R65">
      <formula1>Hoja!$B$2:$B$3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2.38"/>
    <col customWidth="1" min="5" max="5" width="9.5"/>
    <col customWidth="1" min="6" max="6" width="25.63"/>
    <col customWidth="1" min="7" max="7" width="31.75"/>
    <col customWidth="1" min="11" max="11" width="16.38"/>
  </cols>
  <sheetData>
    <row r="1" ht="15.75" customHeight="1">
      <c r="A1" s="222" t="s">
        <v>253</v>
      </c>
      <c r="B1" s="223" t="s">
        <v>1</v>
      </c>
      <c r="C1" s="224" t="s">
        <v>2</v>
      </c>
      <c r="D1" s="225" t="s">
        <v>3</v>
      </c>
      <c r="E1" s="224" t="s">
        <v>4</v>
      </c>
      <c r="F1" s="224" t="s">
        <v>5</v>
      </c>
      <c r="G1" s="224" t="s">
        <v>6</v>
      </c>
      <c r="H1" s="224" t="s">
        <v>7</v>
      </c>
      <c r="I1" s="224" t="s">
        <v>8</v>
      </c>
      <c r="J1" s="224" t="s">
        <v>9</v>
      </c>
      <c r="K1" s="5" t="s">
        <v>10</v>
      </c>
      <c r="L1" s="224" t="s">
        <v>11</v>
      </c>
      <c r="M1" s="224" t="s">
        <v>12</v>
      </c>
      <c r="N1" s="224" t="s">
        <v>13</v>
      </c>
      <c r="O1" s="225" t="s">
        <v>14</v>
      </c>
      <c r="P1" s="3" t="s">
        <v>15</v>
      </c>
      <c r="Q1" s="225" t="s">
        <v>16</v>
      </c>
      <c r="R1" s="224" t="s">
        <v>17</v>
      </c>
      <c r="S1" s="3" t="s">
        <v>18</v>
      </c>
      <c r="T1" s="226" t="s">
        <v>19</v>
      </c>
      <c r="U1" s="3" t="s">
        <v>20</v>
      </c>
    </row>
    <row r="2" ht="15.75" hidden="1" customHeight="1">
      <c r="A2" s="113" t="s">
        <v>50</v>
      </c>
      <c r="B2" s="219">
        <v>1.003881007E9</v>
      </c>
      <c r="C2" s="346" t="s">
        <v>991</v>
      </c>
      <c r="D2" s="254">
        <v>37407.0</v>
      </c>
      <c r="E2" s="76">
        <v>3.142487295E9</v>
      </c>
      <c r="F2" s="76" t="s">
        <v>992</v>
      </c>
      <c r="G2" s="76" t="s">
        <v>993</v>
      </c>
      <c r="H2" s="199">
        <f t="shared" ref="H2:H4" si="1">(YEAR(NOW())-YEAR(D2))</f>
        <v>24</v>
      </c>
      <c r="I2" s="267" t="s">
        <v>25</v>
      </c>
      <c r="J2" s="11" t="s">
        <v>994</v>
      </c>
      <c r="K2" s="60" t="s">
        <v>89</v>
      </c>
      <c r="L2" s="149" t="s">
        <v>48</v>
      </c>
      <c r="M2" s="36" t="s">
        <v>61</v>
      </c>
      <c r="N2" s="36" t="s">
        <v>62</v>
      </c>
      <c r="O2" s="98">
        <v>45951.0</v>
      </c>
      <c r="P2" s="59">
        <f t="shared" ref="P2:P3" si="2">O2+60</f>
        <v>46011</v>
      </c>
      <c r="Q2" s="149" t="s">
        <v>550</v>
      </c>
      <c r="R2" s="24" t="s">
        <v>31</v>
      </c>
      <c r="S2" s="273">
        <v>1623500.0</v>
      </c>
      <c r="T2" s="273">
        <v>811750.0</v>
      </c>
      <c r="U2" s="24" t="s">
        <v>31</v>
      </c>
      <c r="V2" s="176"/>
      <c r="W2" s="176"/>
      <c r="X2" s="176"/>
      <c r="Y2" s="176"/>
      <c r="Z2" s="176"/>
    </row>
    <row r="3" ht="15.75" customHeight="1">
      <c r="A3" s="113" t="s">
        <v>21</v>
      </c>
      <c r="B3" s="219">
        <v>6361314.0</v>
      </c>
      <c r="C3" s="346" t="s">
        <v>995</v>
      </c>
      <c r="D3" s="162">
        <v>36796.0</v>
      </c>
      <c r="E3" s="76">
        <v>3.001081682E9</v>
      </c>
      <c r="F3" s="76" t="s">
        <v>996</v>
      </c>
      <c r="G3" s="76" t="s">
        <v>734</v>
      </c>
      <c r="H3" s="199">
        <f t="shared" si="1"/>
        <v>26</v>
      </c>
      <c r="I3" s="267" t="s">
        <v>25</v>
      </c>
      <c r="J3" s="11" t="s">
        <v>994</v>
      </c>
      <c r="K3" s="60" t="s">
        <v>89</v>
      </c>
      <c r="L3" s="149" t="s">
        <v>28</v>
      </c>
      <c r="M3" s="36" t="s">
        <v>61</v>
      </c>
      <c r="N3" s="36" t="s">
        <v>62</v>
      </c>
      <c r="O3" s="98">
        <v>45947.0</v>
      </c>
      <c r="P3" s="59">
        <f t="shared" si="2"/>
        <v>46007</v>
      </c>
      <c r="Q3" s="282"/>
      <c r="R3" s="36" t="s">
        <v>39</v>
      </c>
      <c r="S3" s="100">
        <v>1750905.0</v>
      </c>
      <c r="T3" s="100">
        <f t="shared" ref="T3:T12" si="3">S3/2</f>
        <v>875452.5</v>
      </c>
      <c r="U3" s="36" t="s">
        <v>229</v>
      </c>
      <c r="V3" s="176"/>
      <c r="W3" s="176"/>
      <c r="X3" s="176"/>
      <c r="Y3" s="176"/>
      <c r="Z3" s="176"/>
    </row>
    <row r="4" ht="15.75" customHeight="1">
      <c r="A4" s="200" t="s">
        <v>267</v>
      </c>
      <c r="B4" s="193">
        <v>3.0181477E7</v>
      </c>
      <c r="C4" s="342" t="s">
        <v>997</v>
      </c>
      <c r="D4" s="260">
        <v>37952.0</v>
      </c>
      <c r="E4" s="196">
        <v>3.009917387E9</v>
      </c>
      <c r="F4" s="196" t="s">
        <v>998</v>
      </c>
      <c r="G4" s="196" t="s">
        <v>959</v>
      </c>
      <c r="H4" s="199">
        <f t="shared" si="1"/>
        <v>23</v>
      </c>
      <c r="I4" s="62" t="s">
        <v>25</v>
      </c>
      <c r="J4" s="95" t="s">
        <v>26</v>
      </c>
      <c r="K4" s="79" t="s">
        <v>89</v>
      </c>
      <c r="L4" s="149" t="s">
        <v>28</v>
      </c>
      <c r="M4" s="52" t="s">
        <v>61</v>
      </c>
      <c r="N4" s="52" t="s">
        <v>62</v>
      </c>
      <c r="O4" s="98">
        <v>46038.0</v>
      </c>
      <c r="P4" s="17">
        <f>O4+60</f>
        <v>46098</v>
      </c>
      <c r="Q4" s="7"/>
      <c r="R4" s="12" t="s">
        <v>39</v>
      </c>
      <c r="S4" s="100">
        <v>1750905.0</v>
      </c>
      <c r="T4" s="100">
        <f t="shared" si="3"/>
        <v>875452.5</v>
      </c>
      <c r="U4" s="36" t="s">
        <v>229</v>
      </c>
    </row>
    <row r="5" ht="15.75" hidden="1" customHeight="1">
      <c r="A5" s="347" t="s">
        <v>50</v>
      </c>
      <c r="B5" s="147">
        <v>1.033705835E9</v>
      </c>
      <c r="C5" s="348" t="s">
        <v>999</v>
      </c>
      <c r="D5" s="162"/>
      <c r="E5" s="76"/>
      <c r="F5" s="76"/>
      <c r="G5" s="76"/>
      <c r="H5" s="199"/>
      <c r="I5" s="267" t="s">
        <v>25</v>
      </c>
      <c r="J5" s="11" t="s">
        <v>994</v>
      </c>
      <c r="K5" s="60" t="s">
        <v>89</v>
      </c>
      <c r="L5" s="149" t="s">
        <v>28</v>
      </c>
      <c r="M5" s="36" t="s">
        <v>61</v>
      </c>
      <c r="N5" s="36" t="s">
        <v>62</v>
      </c>
      <c r="O5" s="349">
        <v>45892.0</v>
      </c>
      <c r="P5" s="59">
        <f t="shared" ref="P5:P12" si="4">O5+60</f>
        <v>45952</v>
      </c>
      <c r="Q5" s="149" t="s">
        <v>1000</v>
      </c>
      <c r="R5" s="24" t="s">
        <v>31</v>
      </c>
      <c r="S5" s="273">
        <v>2000000.0</v>
      </c>
      <c r="T5" s="100">
        <f t="shared" si="3"/>
        <v>1000000</v>
      </c>
      <c r="U5" s="24" t="s">
        <v>31</v>
      </c>
      <c r="V5" s="176"/>
      <c r="W5" s="176"/>
      <c r="X5" s="176"/>
      <c r="Y5" s="176"/>
      <c r="Z5" s="176"/>
    </row>
    <row r="6" ht="15.75" customHeight="1">
      <c r="A6" s="347" t="s">
        <v>50</v>
      </c>
      <c r="B6" s="147">
        <v>1.000729744E9</v>
      </c>
      <c r="C6" s="348" t="s">
        <v>1001</v>
      </c>
      <c r="D6" s="162"/>
      <c r="E6" s="76"/>
      <c r="F6" s="76"/>
      <c r="G6" s="76"/>
      <c r="H6" s="199"/>
      <c r="I6" s="267" t="s">
        <v>25</v>
      </c>
      <c r="J6" s="11" t="s">
        <v>994</v>
      </c>
      <c r="K6" s="60" t="s">
        <v>89</v>
      </c>
      <c r="L6" s="149" t="s">
        <v>73</v>
      </c>
      <c r="M6" s="36" t="s">
        <v>61</v>
      </c>
      <c r="N6" s="36" t="s">
        <v>62</v>
      </c>
      <c r="O6" s="345">
        <v>45793.0</v>
      </c>
      <c r="P6" s="59">
        <f t="shared" si="4"/>
        <v>45853</v>
      </c>
      <c r="Q6" s="282"/>
      <c r="R6" s="36" t="s">
        <v>39</v>
      </c>
      <c r="S6" s="273">
        <v>2000000.0</v>
      </c>
      <c r="T6" s="100">
        <f t="shared" si="3"/>
        <v>1000000</v>
      </c>
      <c r="U6" s="36" t="s">
        <v>229</v>
      </c>
      <c r="V6" s="176"/>
      <c r="W6" s="176"/>
      <c r="X6" s="176"/>
      <c r="Y6" s="176"/>
      <c r="Z6" s="176"/>
    </row>
    <row r="7" ht="15.75" customHeight="1">
      <c r="A7" s="347" t="s">
        <v>267</v>
      </c>
      <c r="B7" s="147">
        <v>2.7562547E7</v>
      </c>
      <c r="C7" s="348" t="s">
        <v>1002</v>
      </c>
      <c r="D7" s="162"/>
      <c r="E7" s="76"/>
      <c r="F7" s="76"/>
      <c r="G7" s="76"/>
      <c r="H7" s="199"/>
      <c r="I7" s="267" t="s">
        <v>25</v>
      </c>
      <c r="J7" s="11" t="s">
        <v>994</v>
      </c>
      <c r="K7" s="60" t="s">
        <v>89</v>
      </c>
      <c r="L7" s="149" t="s">
        <v>73</v>
      </c>
      <c r="M7" s="36" t="s">
        <v>61</v>
      </c>
      <c r="N7" s="36" t="s">
        <v>62</v>
      </c>
      <c r="O7" s="345">
        <v>45930.0</v>
      </c>
      <c r="P7" s="59">
        <f t="shared" si="4"/>
        <v>45990</v>
      </c>
      <c r="Q7" s="282"/>
      <c r="R7" s="36" t="s">
        <v>39</v>
      </c>
      <c r="S7" s="273">
        <v>2000000.0</v>
      </c>
      <c r="T7" s="100">
        <f t="shared" si="3"/>
        <v>1000000</v>
      </c>
      <c r="U7" s="36" t="s">
        <v>229</v>
      </c>
      <c r="V7" s="176"/>
      <c r="W7" s="176"/>
      <c r="X7" s="176"/>
      <c r="Y7" s="176"/>
      <c r="Z7" s="176"/>
    </row>
    <row r="8" ht="15.75" customHeight="1">
      <c r="A8" s="261" t="s">
        <v>21</v>
      </c>
      <c r="B8" s="147">
        <v>5328386.0</v>
      </c>
      <c r="C8" s="348" t="s">
        <v>521</v>
      </c>
      <c r="D8" s="162"/>
      <c r="E8" s="76"/>
      <c r="F8" s="76"/>
      <c r="G8" s="76"/>
      <c r="H8" s="199"/>
      <c r="I8" s="267" t="s">
        <v>67</v>
      </c>
      <c r="J8" s="11" t="s">
        <v>994</v>
      </c>
      <c r="K8" s="60" t="s">
        <v>89</v>
      </c>
      <c r="L8" s="149" t="s">
        <v>48</v>
      </c>
      <c r="M8" s="36" t="s">
        <v>61</v>
      </c>
      <c r="N8" s="36" t="s">
        <v>62</v>
      </c>
      <c r="O8" s="98">
        <v>45901.0</v>
      </c>
      <c r="P8" s="59">
        <f t="shared" si="4"/>
        <v>45961</v>
      </c>
      <c r="Q8" s="282"/>
      <c r="R8" s="36" t="s">
        <v>39</v>
      </c>
      <c r="S8" s="100">
        <v>1750905.0</v>
      </c>
      <c r="T8" s="100">
        <f t="shared" si="3"/>
        <v>875452.5</v>
      </c>
      <c r="U8" s="36" t="s">
        <v>229</v>
      </c>
      <c r="V8" s="176"/>
      <c r="W8" s="176"/>
      <c r="X8" s="176"/>
      <c r="Y8" s="176"/>
      <c r="Z8" s="176"/>
    </row>
    <row r="9" ht="15.75" customHeight="1">
      <c r="A9" s="347" t="s">
        <v>50</v>
      </c>
      <c r="B9" s="147">
        <v>1.148962429E9</v>
      </c>
      <c r="C9" s="348" t="s">
        <v>393</v>
      </c>
      <c r="D9" s="162"/>
      <c r="E9" s="76"/>
      <c r="F9" s="76"/>
      <c r="G9" s="76"/>
      <c r="H9" s="199"/>
      <c r="I9" s="267" t="s">
        <v>25</v>
      </c>
      <c r="J9" s="11" t="s">
        <v>994</v>
      </c>
      <c r="K9" s="60" t="s">
        <v>89</v>
      </c>
      <c r="L9" s="149" t="s">
        <v>48</v>
      </c>
      <c r="M9" s="36" t="s">
        <v>61</v>
      </c>
      <c r="N9" s="36" t="s">
        <v>62</v>
      </c>
      <c r="O9" s="345">
        <v>45831.0</v>
      </c>
      <c r="P9" s="59">
        <f t="shared" si="4"/>
        <v>45891</v>
      </c>
      <c r="Q9" s="282"/>
      <c r="R9" s="36" t="s">
        <v>39</v>
      </c>
      <c r="S9" s="100">
        <v>1750905.0</v>
      </c>
      <c r="T9" s="100">
        <f t="shared" si="3"/>
        <v>875452.5</v>
      </c>
      <c r="U9" s="36" t="s">
        <v>229</v>
      </c>
      <c r="V9" s="176"/>
      <c r="W9" s="176"/>
      <c r="X9" s="176"/>
      <c r="Y9" s="176"/>
      <c r="Z9" s="176"/>
    </row>
    <row r="10" ht="15.75" customHeight="1">
      <c r="A10" s="350" t="s">
        <v>50</v>
      </c>
      <c r="B10" s="120">
        <v>1.012316202E9</v>
      </c>
      <c r="C10" s="351" t="s">
        <v>1003</v>
      </c>
      <c r="D10" s="162"/>
      <c r="E10" s="76"/>
      <c r="F10" s="76"/>
      <c r="G10" s="76"/>
      <c r="H10" s="199"/>
      <c r="I10" s="267" t="s">
        <v>67</v>
      </c>
      <c r="J10" s="11" t="s">
        <v>994</v>
      </c>
      <c r="K10" s="60" t="s">
        <v>89</v>
      </c>
      <c r="L10" s="149" t="s">
        <v>48</v>
      </c>
      <c r="M10" s="36" t="s">
        <v>61</v>
      </c>
      <c r="N10" s="36" t="s">
        <v>62</v>
      </c>
      <c r="O10" s="345">
        <v>46059.0</v>
      </c>
      <c r="P10" s="59">
        <f t="shared" si="4"/>
        <v>46119</v>
      </c>
      <c r="Q10" s="282"/>
      <c r="R10" s="36" t="s">
        <v>39</v>
      </c>
      <c r="S10" s="273">
        <v>2000000.0</v>
      </c>
      <c r="T10" s="100">
        <f t="shared" si="3"/>
        <v>1000000</v>
      </c>
      <c r="U10" s="36" t="s">
        <v>229</v>
      </c>
      <c r="V10" s="176"/>
      <c r="W10" s="176"/>
      <c r="X10" s="176"/>
      <c r="Y10" s="176"/>
      <c r="Z10" s="176"/>
    </row>
    <row r="11" ht="15.75" customHeight="1">
      <c r="A11" s="350" t="s">
        <v>21</v>
      </c>
      <c r="B11" s="120" t="s">
        <v>1004</v>
      </c>
      <c r="C11" s="351" t="s">
        <v>375</v>
      </c>
      <c r="D11" s="162"/>
      <c r="E11" s="76"/>
      <c r="F11" s="76"/>
      <c r="G11" s="76"/>
      <c r="H11" s="199"/>
      <c r="I11" s="267" t="s">
        <v>25</v>
      </c>
      <c r="J11" s="11" t="s">
        <v>994</v>
      </c>
      <c r="K11" s="60" t="s">
        <v>89</v>
      </c>
      <c r="L11" s="149" t="s">
        <v>73</v>
      </c>
      <c r="M11" s="36" t="s">
        <v>61</v>
      </c>
      <c r="N11" s="36" t="s">
        <v>62</v>
      </c>
      <c r="O11" s="345">
        <v>46072.0</v>
      </c>
      <c r="P11" s="59">
        <f t="shared" si="4"/>
        <v>46132</v>
      </c>
      <c r="Q11" s="282"/>
      <c r="R11" s="36" t="s">
        <v>39</v>
      </c>
      <c r="S11" s="100">
        <v>1750905.0</v>
      </c>
      <c r="T11" s="100">
        <f t="shared" si="3"/>
        <v>875452.5</v>
      </c>
      <c r="U11" s="36" t="s">
        <v>229</v>
      </c>
      <c r="V11" s="176"/>
      <c r="W11" s="176"/>
      <c r="X11" s="176"/>
      <c r="Y11" s="176"/>
      <c r="Z11" s="176"/>
    </row>
    <row r="12" ht="15.75" customHeight="1">
      <c r="A12" s="350" t="s">
        <v>50</v>
      </c>
      <c r="B12" s="120">
        <v>1.012333286E9</v>
      </c>
      <c r="C12" s="351" t="s">
        <v>1005</v>
      </c>
      <c r="D12" s="162"/>
      <c r="E12" s="76"/>
      <c r="F12" s="76"/>
      <c r="G12" s="76"/>
      <c r="H12" s="199"/>
      <c r="I12" s="267" t="s">
        <v>67</v>
      </c>
      <c r="J12" s="11" t="s">
        <v>994</v>
      </c>
      <c r="K12" s="60" t="s">
        <v>89</v>
      </c>
      <c r="L12" s="149" t="s">
        <v>28</v>
      </c>
      <c r="M12" s="36" t="s">
        <v>61</v>
      </c>
      <c r="N12" s="36" t="s">
        <v>62</v>
      </c>
      <c r="O12" s="345">
        <v>46069.0</v>
      </c>
      <c r="P12" s="59">
        <f t="shared" si="4"/>
        <v>46129</v>
      </c>
      <c r="Q12" s="282"/>
      <c r="R12" s="36" t="s">
        <v>39</v>
      </c>
      <c r="S12" s="273">
        <v>2000000.0</v>
      </c>
      <c r="T12" s="100">
        <f t="shared" si="3"/>
        <v>1000000</v>
      </c>
      <c r="U12" s="36" t="s">
        <v>229</v>
      </c>
      <c r="V12" s="176"/>
      <c r="W12" s="176"/>
      <c r="X12" s="176"/>
      <c r="Y12" s="176"/>
      <c r="Z12" s="176"/>
    </row>
  </sheetData>
  <autoFilter ref="$A$1:$U$12">
    <filterColumn colId="17">
      <filters>
        <filter val="ACTIVO"/>
      </filters>
    </filterColumn>
  </autoFilter>
  <dataValidations>
    <dataValidation type="list" allowBlank="1" showErrorMessage="1" sqref="I2:I12">
      <formula1>Hoja!$C$2:$C$3</formula1>
    </dataValidation>
    <dataValidation type="list" allowBlank="1" showErrorMessage="1" sqref="N2:N12">
      <formula1>Hoja!$A$2:$A$3</formula1>
    </dataValidation>
    <dataValidation type="list" allowBlank="1" showErrorMessage="1" sqref="L2:L12">
      <formula1>Hoja!$F$2:$F$5</formula1>
    </dataValidation>
    <dataValidation type="list" allowBlank="1" showErrorMessage="1" sqref="M2:M12">
      <formula1>Hoja!$E$2:$E$11</formula1>
    </dataValidation>
    <dataValidation type="list" allowBlank="1" showErrorMessage="1" sqref="U2 U5 R2:R12">
      <formula1>Hoja!$B$2:$B$3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11.75"/>
  </cols>
  <sheetData>
    <row r="1" ht="15.75" customHeight="1">
      <c r="A1" s="3" t="s">
        <v>2</v>
      </c>
      <c r="B1" s="3" t="s">
        <v>1006</v>
      </c>
      <c r="C1" s="3" t="s">
        <v>1007</v>
      </c>
      <c r="D1" s="352"/>
    </row>
    <row r="2">
      <c r="A2" s="353" t="s">
        <v>32</v>
      </c>
      <c r="B2" s="97">
        <v>0.0</v>
      </c>
      <c r="C2" s="97" t="s">
        <v>1008</v>
      </c>
      <c r="D2" s="352"/>
    </row>
    <row r="3" ht="15.75" customHeight="1">
      <c r="A3" s="63" t="s">
        <v>82</v>
      </c>
      <c r="B3" s="111"/>
      <c r="C3" s="111"/>
      <c r="D3" s="352"/>
    </row>
    <row r="4" ht="15.75" customHeight="1">
      <c r="A4" s="63" t="s">
        <v>100</v>
      </c>
      <c r="B4" s="111"/>
      <c r="C4" s="111"/>
      <c r="D4" s="352"/>
    </row>
    <row r="5" ht="15.75" customHeight="1">
      <c r="A5" s="63" t="s">
        <v>110</v>
      </c>
      <c r="B5" s="97">
        <v>2.0</v>
      </c>
      <c r="C5" s="97" t="s">
        <v>1008</v>
      </c>
      <c r="D5" s="354" t="s">
        <v>1009</v>
      </c>
    </row>
    <row r="6" ht="15.75" customHeight="1">
      <c r="A6" s="63" t="s">
        <v>141</v>
      </c>
      <c r="B6" s="111"/>
      <c r="C6" s="111"/>
      <c r="D6" s="352"/>
    </row>
    <row r="7" ht="15.75" customHeight="1">
      <c r="A7" s="63" t="s">
        <v>157</v>
      </c>
      <c r="B7" s="97">
        <v>2.0</v>
      </c>
      <c r="C7" s="97" t="s">
        <v>1008</v>
      </c>
      <c r="D7" s="354" t="s">
        <v>1009</v>
      </c>
    </row>
    <row r="8" ht="15.75" customHeight="1">
      <c r="A8" s="63" t="s">
        <v>178</v>
      </c>
      <c r="B8" s="111"/>
      <c r="C8" s="111"/>
      <c r="D8" s="352"/>
    </row>
    <row r="9" ht="15.75" customHeight="1">
      <c r="A9" s="63" t="s">
        <v>191</v>
      </c>
      <c r="B9" s="97">
        <v>1.0</v>
      </c>
      <c r="C9" s="97" t="s">
        <v>1008</v>
      </c>
      <c r="D9" s="355" t="s">
        <v>1010</v>
      </c>
    </row>
    <row r="10" ht="15.75" customHeight="1">
      <c r="A10" s="63" t="s">
        <v>194</v>
      </c>
      <c r="B10" s="97">
        <v>0.0</v>
      </c>
      <c r="C10" s="97" t="s">
        <v>1008</v>
      </c>
      <c r="D10" s="352"/>
    </row>
    <row r="11" ht="15.75" customHeight="1">
      <c r="A11" s="111" t="s">
        <v>198</v>
      </c>
      <c r="B11" s="97"/>
      <c r="C11" s="97" t="s">
        <v>1008</v>
      </c>
      <c r="D11" s="352"/>
    </row>
    <row r="12" ht="15.75" customHeight="1">
      <c r="A12" s="63" t="s">
        <v>202</v>
      </c>
      <c r="B12" s="97">
        <v>1.0</v>
      </c>
      <c r="C12" s="97" t="s">
        <v>1008</v>
      </c>
      <c r="D12" s="354" t="s">
        <v>1011</v>
      </c>
    </row>
    <row r="13" ht="15.75" customHeight="1">
      <c r="A13" s="63" t="s">
        <v>212</v>
      </c>
      <c r="B13" s="97">
        <v>2.0</v>
      </c>
      <c r="C13" s="97" t="s">
        <v>1008</v>
      </c>
      <c r="D13" s="355" t="s">
        <v>1012</v>
      </c>
    </row>
    <row r="14" ht="15.75" customHeight="1">
      <c r="A14" s="63" t="s">
        <v>216</v>
      </c>
      <c r="B14" s="97">
        <v>1.0</v>
      </c>
      <c r="C14" s="111"/>
      <c r="D14" s="354" t="s">
        <v>1011</v>
      </c>
    </row>
    <row r="15" ht="15.75" customHeight="1">
      <c r="A15" s="63" t="s">
        <v>226</v>
      </c>
      <c r="B15" s="111"/>
      <c r="C15" s="111"/>
      <c r="D15" s="352"/>
    </row>
    <row r="16" ht="15.75" customHeight="1">
      <c r="A16" s="353" t="s">
        <v>70</v>
      </c>
      <c r="B16" s="97">
        <v>0.0</v>
      </c>
      <c r="C16" s="111"/>
      <c r="D16" s="352"/>
    </row>
    <row r="17" ht="15.75" customHeight="1">
      <c r="A17" s="66" t="s">
        <v>74</v>
      </c>
      <c r="B17" s="97">
        <v>0.0</v>
      </c>
      <c r="C17" s="111"/>
      <c r="D17" s="352"/>
    </row>
    <row r="18" ht="15.75" customHeight="1">
      <c r="A18" s="63" t="s">
        <v>300</v>
      </c>
      <c r="B18" s="111"/>
      <c r="C18" s="97"/>
      <c r="D18" s="352"/>
    </row>
    <row r="19" ht="15.75" customHeight="1">
      <c r="A19" s="63" t="s">
        <v>322</v>
      </c>
      <c r="B19" s="111"/>
      <c r="C19" s="111"/>
      <c r="D19" s="352"/>
    </row>
    <row r="20" ht="15.75" customHeight="1">
      <c r="A20" s="63" t="s">
        <v>380</v>
      </c>
      <c r="B20" s="97">
        <v>0.0</v>
      </c>
      <c r="C20" s="111"/>
      <c r="D20" s="352"/>
    </row>
    <row r="21" ht="15.75" customHeight="1">
      <c r="A21" s="356" t="s">
        <v>414</v>
      </c>
      <c r="B21" s="111"/>
      <c r="C21" s="111"/>
      <c r="D21" s="352"/>
    </row>
    <row r="22" ht="15.75" customHeight="1">
      <c r="A22" s="63" t="s">
        <v>501</v>
      </c>
      <c r="B22" s="97">
        <v>1.0</v>
      </c>
      <c r="C22" s="97" t="s">
        <v>1008</v>
      </c>
      <c r="D22" s="354" t="s">
        <v>1011</v>
      </c>
    </row>
    <row r="23" ht="15.75" customHeight="1">
      <c r="A23" s="63" t="s">
        <v>509</v>
      </c>
      <c r="B23" s="97"/>
      <c r="C23" s="97"/>
      <c r="D23" s="352"/>
    </row>
    <row r="24" ht="15.75" customHeight="1">
      <c r="A24" s="111" t="s">
        <v>533</v>
      </c>
      <c r="B24" s="111"/>
      <c r="C24" s="111"/>
      <c r="D24" s="352"/>
    </row>
    <row r="25" ht="15.75" customHeight="1">
      <c r="A25" s="97" t="s">
        <v>554</v>
      </c>
      <c r="B25" s="97">
        <v>0.0</v>
      </c>
      <c r="C25" s="97" t="s">
        <v>1008</v>
      </c>
      <c r="D25" s="352"/>
    </row>
    <row r="26" ht="15.75" customHeight="1">
      <c r="A26" s="124" t="s">
        <v>233</v>
      </c>
      <c r="B26" s="111"/>
      <c r="C26" s="111"/>
      <c r="D26" s="352"/>
    </row>
    <row r="27" ht="15.75" customHeight="1">
      <c r="A27" s="97" t="s">
        <v>799</v>
      </c>
      <c r="B27" s="97">
        <v>0.0</v>
      </c>
      <c r="C27" s="111"/>
      <c r="D27" s="352"/>
    </row>
    <row r="28" ht="15.75" customHeight="1">
      <c r="A28" s="97" t="s">
        <v>612</v>
      </c>
      <c r="B28" s="97">
        <v>0.0</v>
      </c>
      <c r="C28" s="111"/>
      <c r="D28" s="352"/>
    </row>
    <row r="29" ht="15.75" customHeight="1">
      <c r="A29" s="97" t="s">
        <v>584</v>
      </c>
      <c r="B29" s="97">
        <v>2.0</v>
      </c>
      <c r="C29" s="97" t="s">
        <v>1008</v>
      </c>
      <c r="D29" s="354" t="s">
        <v>1013</v>
      </c>
    </row>
    <row r="30" ht="15.75" customHeight="1">
      <c r="A30" s="357" t="s">
        <v>646</v>
      </c>
      <c r="B30" s="111"/>
      <c r="C30" s="111"/>
      <c r="D30" s="352"/>
    </row>
    <row r="31" ht="15.75" customHeight="1">
      <c r="A31" s="97" t="s">
        <v>657</v>
      </c>
      <c r="B31" s="97">
        <v>1.0</v>
      </c>
      <c r="C31" s="111"/>
      <c r="D31" s="352"/>
    </row>
    <row r="32" ht="15.75" customHeight="1">
      <c r="A32" s="358" t="s">
        <v>711</v>
      </c>
      <c r="B32" s="97"/>
      <c r="C32" s="97"/>
      <c r="D32" s="352"/>
    </row>
    <row r="33" ht="15.75" customHeight="1">
      <c r="A33" s="63" t="s">
        <v>747</v>
      </c>
      <c r="B33" s="111"/>
      <c r="C33" s="97" t="s">
        <v>1008</v>
      </c>
      <c r="D33" s="352"/>
    </row>
    <row r="34" ht="15.75" customHeight="1">
      <c r="A34" s="97" t="s">
        <v>774</v>
      </c>
      <c r="B34" s="97">
        <v>1.0</v>
      </c>
      <c r="C34" s="111"/>
      <c r="D34" s="354" t="s">
        <v>1011</v>
      </c>
    </row>
    <row r="35" ht="15.75" customHeight="1">
      <c r="A35" s="66" t="s">
        <v>471</v>
      </c>
      <c r="B35" s="97">
        <v>0.0</v>
      </c>
      <c r="C35" s="111"/>
      <c r="D35" s="352"/>
    </row>
    <row r="36" ht="15.75" customHeight="1">
      <c r="A36" s="97" t="s">
        <v>809</v>
      </c>
      <c r="B36" s="97">
        <v>0.0</v>
      </c>
      <c r="C36" s="111"/>
      <c r="D36" s="352"/>
    </row>
    <row r="37" ht="15.75" customHeight="1">
      <c r="A37" s="356" t="s">
        <v>815</v>
      </c>
      <c r="B37" s="97">
        <v>1.0</v>
      </c>
      <c r="C37" s="97" t="s">
        <v>1008</v>
      </c>
      <c r="D37" s="355" t="s">
        <v>1010</v>
      </c>
    </row>
    <row r="38" ht="15.75" customHeight="1">
      <c r="A38" s="97" t="s">
        <v>778</v>
      </c>
      <c r="B38" s="97"/>
      <c r="C38" s="97"/>
      <c r="D38" s="352"/>
    </row>
    <row r="39" ht="15.75" customHeight="1">
      <c r="A39" s="97" t="s">
        <v>744</v>
      </c>
      <c r="B39" s="97">
        <v>0.0</v>
      </c>
      <c r="C39" s="111"/>
      <c r="D39" s="82"/>
    </row>
    <row r="40" ht="15.75" customHeight="1">
      <c r="A40" s="359" t="s">
        <v>762</v>
      </c>
      <c r="B40" s="97">
        <v>0.0</v>
      </c>
      <c r="C40" s="111"/>
      <c r="D40" s="352"/>
    </row>
    <row r="41" ht="15.75" customHeight="1">
      <c r="A41" s="66" t="s">
        <v>738</v>
      </c>
      <c r="B41" s="97">
        <v>0.0</v>
      </c>
      <c r="C41" s="111"/>
      <c r="D41" s="352"/>
    </row>
    <row r="42" ht="15.75" customHeight="1">
      <c r="A42" s="66" t="s">
        <v>765</v>
      </c>
      <c r="B42" s="97">
        <v>0.0</v>
      </c>
      <c r="C42" s="111"/>
      <c r="D42" s="352"/>
    </row>
    <row r="43" ht="15.75" customHeight="1">
      <c r="A43" s="360" t="s">
        <v>786</v>
      </c>
      <c r="B43" s="97">
        <v>0.0</v>
      </c>
      <c r="C43" s="111"/>
      <c r="D43" s="352"/>
    </row>
    <row r="44" ht="15.75" customHeight="1">
      <c r="A44" s="97" t="s">
        <v>708</v>
      </c>
      <c r="B44" s="97"/>
      <c r="C44" s="111"/>
      <c r="D44" s="352"/>
    </row>
    <row r="45" ht="15.75" customHeight="1">
      <c r="A45" s="149" t="s">
        <v>806</v>
      </c>
      <c r="B45" s="111"/>
      <c r="C45" s="111"/>
      <c r="D45" s="352"/>
    </row>
    <row r="46" ht="15.75" customHeight="1">
      <c r="A46" s="95" t="s">
        <v>535</v>
      </c>
      <c r="B46" s="111"/>
      <c r="C46" s="111"/>
      <c r="D46" s="352"/>
    </row>
    <row r="47" ht="15.75" customHeight="1">
      <c r="A47" s="113" t="s">
        <v>751</v>
      </c>
      <c r="B47" s="97"/>
      <c r="C47" s="97"/>
      <c r="D47" s="82"/>
    </row>
    <row r="48" ht="15.75" customHeight="1">
      <c r="A48" s="121" t="s">
        <v>963</v>
      </c>
      <c r="B48" s="97"/>
      <c r="C48" s="97"/>
      <c r="D48" s="352"/>
    </row>
    <row r="49" ht="15.75" customHeight="1">
      <c r="D49" s="352"/>
    </row>
    <row r="50" ht="15.75" customHeight="1">
      <c r="D50" s="352"/>
    </row>
    <row r="51" ht="15.75" customHeight="1">
      <c r="D51" s="352"/>
    </row>
    <row r="52" ht="15.75" customHeight="1">
      <c r="D52" s="352"/>
    </row>
    <row r="53" ht="15.75" customHeight="1">
      <c r="D53" s="352"/>
    </row>
    <row r="54" ht="15.75" customHeight="1">
      <c r="D54" s="352"/>
    </row>
    <row r="55" ht="15.75" customHeight="1">
      <c r="D55" s="352"/>
    </row>
    <row r="56" ht="15.75" customHeight="1">
      <c r="D56" s="352"/>
    </row>
    <row r="57" ht="15.75" customHeight="1">
      <c r="D57" s="352"/>
    </row>
    <row r="58" ht="15.75" customHeight="1">
      <c r="D58" s="352"/>
    </row>
    <row r="59" ht="15.75" customHeight="1">
      <c r="D59" s="352"/>
    </row>
    <row r="60" ht="15.75" customHeight="1">
      <c r="D60" s="352"/>
    </row>
    <row r="61" ht="15.75" customHeight="1">
      <c r="D61" s="352"/>
    </row>
    <row r="62" ht="15.75" customHeight="1">
      <c r="A62" s="361" t="s">
        <v>1014</v>
      </c>
      <c r="B62" s="362">
        <f t="shared" ref="B62:C62" si="1">SUM(B2:B58)</f>
        <v>15</v>
      </c>
      <c r="C62" s="362">
        <f t="shared" si="1"/>
        <v>0</v>
      </c>
      <c r="D62" s="352"/>
    </row>
    <row r="63" ht="15.75" customHeight="1">
      <c r="D63" s="352"/>
    </row>
    <row r="64" ht="15.75" customHeight="1">
      <c r="D64" s="352"/>
    </row>
    <row r="65" ht="15.75" customHeight="1">
      <c r="D65" s="352"/>
    </row>
    <row r="66" ht="15.75" customHeight="1">
      <c r="D66" s="352"/>
    </row>
    <row r="67" ht="15.75" customHeight="1">
      <c r="D67" s="352"/>
    </row>
    <row r="68" ht="15.75" customHeight="1">
      <c r="D68" s="352"/>
    </row>
    <row r="69" ht="15.75" customHeight="1">
      <c r="D69" s="352"/>
    </row>
    <row r="70" ht="15.75" customHeight="1">
      <c r="D70" s="352"/>
    </row>
    <row r="71" ht="15.75" customHeight="1">
      <c r="D71" s="352"/>
    </row>
    <row r="72" ht="15.75" customHeight="1">
      <c r="D72" s="352"/>
    </row>
    <row r="73" ht="15.75" customHeight="1">
      <c r="D73" s="352"/>
    </row>
    <row r="74" ht="15.75" customHeight="1">
      <c r="D74" s="352"/>
    </row>
    <row r="75" ht="15.75" customHeight="1">
      <c r="D75" s="352"/>
    </row>
    <row r="76" ht="15.75" customHeight="1">
      <c r="D76" s="352"/>
    </row>
    <row r="77" ht="15.75" customHeight="1">
      <c r="D77" s="352"/>
    </row>
    <row r="78" ht="15.75" customHeight="1">
      <c r="D78" s="352"/>
    </row>
    <row r="79" ht="15.75" customHeight="1">
      <c r="D79" s="352"/>
    </row>
    <row r="80" ht="15.75" customHeight="1">
      <c r="D80" s="352"/>
    </row>
    <row r="81" ht="15.75" customHeight="1">
      <c r="D81" s="352"/>
    </row>
    <row r="82" ht="15.75" customHeight="1">
      <c r="D82" s="352"/>
    </row>
    <row r="83" ht="15.75" customHeight="1">
      <c r="D83" s="352"/>
    </row>
    <row r="84" ht="15.75" customHeight="1">
      <c r="D84" s="352"/>
    </row>
    <row r="85" ht="15.75" customHeight="1">
      <c r="D85" s="352"/>
    </row>
    <row r="86" ht="15.75" customHeight="1">
      <c r="D86" s="352"/>
    </row>
    <row r="87" ht="15.75" customHeight="1">
      <c r="D87" s="352"/>
    </row>
    <row r="88" ht="15.75" customHeight="1">
      <c r="D88" s="352"/>
    </row>
    <row r="89" ht="15.75" customHeight="1">
      <c r="D89" s="352"/>
    </row>
    <row r="90" ht="15.75" customHeight="1">
      <c r="D90" s="352"/>
    </row>
    <row r="91" ht="15.75" customHeight="1">
      <c r="D91" s="352"/>
    </row>
    <row r="92" ht="15.75" customHeight="1">
      <c r="D92" s="352"/>
    </row>
    <row r="93" ht="15.75" customHeight="1">
      <c r="D93" s="352"/>
    </row>
    <row r="94" ht="15.75" customHeight="1">
      <c r="D94" s="352"/>
    </row>
    <row r="95" ht="15.75" customHeight="1">
      <c r="D95" s="352"/>
    </row>
    <row r="96" ht="15.75" customHeight="1">
      <c r="D96" s="352"/>
    </row>
    <row r="97" ht="15.75" customHeight="1">
      <c r="D97" s="352"/>
    </row>
    <row r="98" ht="15.75" customHeight="1">
      <c r="D98" s="352"/>
    </row>
    <row r="99" ht="15.75" customHeight="1">
      <c r="D99" s="352"/>
    </row>
    <row r="100" ht="15.75" customHeight="1">
      <c r="D100" s="352"/>
    </row>
    <row r="101" ht="15.75" customHeight="1">
      <c r="D101" s="352"/>
    </row>
    <row r="102" ht="15.75" customHeight="1">
      <c r="D102" s="352"/>
    </row>
    <row r="103" ht="15.75" customHeight="1">
      <c r="D103" s="352"/>
    </row>
    <row r="104" ht="15.75" customHeight="1">
      <c r="D104" s="352"/>
    </row>
    <row r="105" ht="15.75" customHeight="1">
      <c r="D105" s="352"/>
    </row>
    <row r="106" ht="15.75" customHeight="1">
      <c r="D106" s="352"/>
    </row>
    <row r="107" ht="15.75" customHeight="1">
      <c r="D107" s="352"/>
    </row>
    <row r="108" ht="15.75" customHeight="1">
      <c r="D108" s="352"/>
    </row>
    <row r="109" ht="15.75" customHeight="1">
      <c r="D109" s="352"/>
    </row>
    <row r="110" ht="15.75" customHeight="1">
      <c r="D110" s="352"/>
    </row>
    <row r="111" ht="15.75" customHeight="1">
      <c r="D111" s="352"/>
    </row>
    <row r="112" ht="15.75" customHeight="1">
      <c r="D112" s="352"/>
    </row>
    <row r="113" ht="15.75" customHeight="1">
      <c r="D113" s="352"/>
    </row>
    <row r="114" ht="15.75" customHeight="1">
      <c r="D114" s="352"/>
    </row>
    <row r="115" ht="15.75" customHeight="1">
      <c r="D115" s="352"/>
    </row>
    <row r="116" ht="15.75" customHeight="1">
      <c r="D116" s="352"/>
    </row>
    <row r="117" ht="15.75" customHeight="1">
      <c r="D117" s="352"/>
    </row>
    <row r="118" ht="15.75" customHeight="1">
      <c r="D118" s="352"/>
    </row>
    <row r="119" ht="15.75" customHeight="1">
      <c r="D119" s="352"/>
    </row>
    <row r="120" ht="15.75" customHeight="1">
      <c r="D120" s="352"/>
    </row>
    <row r="121" ht="15.75" customHeight="1">
      <c r="D121" s="352"/>
    </row>
    <row r="122" ht="15.75" customHeight="1">
      <c r="D122" s="352"/>
    </row>
    <row r="123" ht="15.75" customHeight="1">
      <c r="D123" s="352"/>
    </row>
    <row r="124" ht="15.75" customHeight="1">
      <c r="D124" s="352"/>
    </row>
    <row r="125" ht="15.75" customHeight="1">
      <c r="D125" s="352"/>
    </row>
    <row r="126" ht="15.75" customHeight="1">
      <c r="D126" s="352"/>
    </row>
    <row r="127" ht="15.75" customHeight="1">
      <c r="D127" s="352"/>
    </row>
    <row r="128" ht="15.75" customHeight="1">
      <c r="D128" s="352"/>
    </row>
    <row r="129" ht="15.75" customHeight="1">
      <c r="D129" s="352"/>
    </row>
    <row r="130" ht="15.75" customHeight="1">
      <c r="D130" s="352"/>
    </row>
    <row r="131" ht="15.75" customHeight="1">
      <c r="D131" s="352"/>
    </row>
    <row r="132" ht="15.75" customHeight="1">
      <c r="D132" s="352"/>
    </row>
    <row r="133" ht="15.75" customHeight="1">
      <c r="D133" s="352"/>
    </row>
    <row r="134" ht="15.75" customHeight="1">
      <c r="D134" s="352"/>
    </row>
    <row r="135" ht="15.75" customHeight="1">
      <c r="D135" s="352"/>
    </row>
    <row r="136" ht="15.75" customHeight="1">
      <c r="D136" s="352"/>
    </row>
    <row r="137" ht="15.75" customHeight="1">
      <c r="D137" s="352"/>
    </row>
    <row r="138" ht="15.75" customHeight="1">
      <c r="D138" s="352"/>
    </row>
    <row r="139" ht="15.75" customHeight="1">
      <c r="D139" s="352"/>
    </row>
    <row r="140" ht="15.75" customHeight="1">
      <c r="D140" s="352"/>
    </row>
    <row r="141" ht="15.75" customHeight="1">
      <c r="D141" s="352"/>
    </row>
    <row r="142" ht="15.75" customHeight="1">
      <c r="D142" s="352"/>
    </row>
    <row r="143" ht="15.75" customHeight="1">
      <c r="D143" s="352"/>
    </row>
    <row r="144" ht="15.75" customHeight="1">
      <c r="D144" s="352"/>
    </row>
    <row r="145" ht="15.75" customHeight="1">
      <c r="D145" s="352"/>
    </row>
    <row r="146" ht="15.75" customHeight="1">
      <c r="D146" s="352"/>
    </row>
    <row r="147" ht="15.75" customHeight="1">
      <c r="D147" s="352"/>
    </row>
    <row r="148" ht="15.75" customHeight="1">
      <c r="D148" s="352"/>
    </row>
    <row r="149" ht="15.75" customHeight="1">
      <c r="D149" s="352"/>
    </row>
    <row r="150" ht="15.75" customHeight="1">
      <c r="D150" s="352"/>
    </row>
    <row r="151" ht="15.75" customHeight="1">
      <c r="D151" s="352"/>
    </row>
    <row r="152" ht="15.75" customHeight="1">
      <c r="D152" s="352"/>
    </row>
    <row r="153" ht="15.75" customHeight="1">
      <c r="D153" s="352"/>
    </row>
    <row r="154" ht="15.75" customHeight="1">
      <c r="D154" s="352"/>
    </row>
    <row r="155" ht="15.75" customHeight="1">
      <c r="D155" s="352"/>
    </row>
    <row r="156" ht="15.75" customHeight="1">
      <c r="D156" s="352"/>
    </row>
    <row r="157" ht="15.75" customHeight="1">
      <c r="D157" s="352"/>
    </row>
    <row r="158" ht="15.75" customHeight="1">
      <c r="D158" s="352"/>
    </row>
    <row r="159" ht="15.75" customHeight="1">
      <c r="D159" s="352"/>
    </row>
    <row r="160" ht="15.75" customHeight="1">
      <c r="D160" s="352"/>
    </row>
    <row r="161" ht="15.75" customHeight="1">
      <c r="D161" s="352"/>
    </row>
    <row r="162" ht="15.75" customHeight="1">
      <c r="D162" s="352"/>
    </row>
    <row r="163" ht="15.75" customHeight="1">
      <c r="D163" s="352"/>
    </row>
    <row r="164" ht="15.75" customHeight="1">
      <c r="D164" s="352"/>
    </row>
    <row r="165" ht="15.75" customHeight="1">
      <c r="D165" s="352"/>
    </row>
    <row r="166" ht="15.75" customHeight="1">
      <c r="D166" s="352"/>
    </row>
    <row r="167" ht="15.75" customHeight="1">
      <c r="D167" s="352"/>
    </row>
    <row r="168" ht="15.75" customHeight="1">
      <c r="D168" s="352"/>
    </row>
    <row r="169" ht="15.75" customHeight="1">
      <c r="D169" s="352"/>
    </row>
    <row r="170" ht="15.75" customHeight="1">
      <c r="D170" s="352"/>
    </row>
    <row r="171" ht="15.75" customHeight="1">
      <c r="D171" s="352"/>
    </row>
    <row r="172" ht="15.75" customHeight="1">
      <c r="D172" s="352"/>
    </row>
    <row r="173" ht="15.75" customHeight="1">
      <c r="D173" s="352"/>
    </row>
    <row r="174" ht="15.75" customHeight="1">
      <c r="D174" s="352"/>
    </row>
    <row r="175" ht="15.75" customHeight="1">
      <c r="D175" s="352"/>
    </row>
    <row r="176" ht="15.75" customHeight="1">
      <c r="D176" s="352"/>
    </row>
    <row r="177" ht="15.75" customHeight="1">
      <c r="D177" s="352"/>
    </row>
    <row r="178" ht="15.75" customHeight="1">
      <c r="D178" s="352"/>
    </row>
    <row r="179" ht="15.75" customHeight="1">
      <c r="D179" s="352"/>
    </row>
    <row r="180" ht="15.75" customHeight="1">
      <c r="D180" s="352"/>
    </row>
    <row r="181" ht="15.75" customHeight="1">
      <c r="D181" s="352"/>
    </row>
    <row r="182" ht="15.75" customHeight="1">
      <c r="D182" s="352"/>
    </row>
    <row r="183" ht="15.75" customHeight="1">
      <c r="D183" s="352"/>
    </row>
    <row r="184" ht="15.75" customHeight="1">
      <c r="D184" s="352"/>
    </row>
    <row r="185" ht="15.75" customHeight="1">
      <c r="D185" s="352"/>
    </row>
    <row r="186" ht="15.75" customHeight="1">
      <c r="D186" s="352"/>
    </row>
    <row r="187" ht="15.75" customHeight="1">
      <c r="D187" s="352"/>
    </row>
    <row r="188" ht="15.75" customHeight="1">
      <c r="D188" s="352"/>
    </row>
    <row r="189" ht="15.75" customHeight="1">
      <c r="D189" s="352"/>
    </row>
    <row r="190" ht="15.75" customHeight="1">
      <c r="D190" s="352"/>
    </row>
    <row r="191" ht="15.75" customHeight="1">
      <c r="D191" s="352"/>
    </row>
    <row r="192" ht="15.75" customHeight="1">
      <c r="D192" s="352"/>
    </row>
    <row r="193" ht="15.75" customHeight="1">
      <c r="D193" s="352"/>
    </row>
    <row r="194" ht="15.75" customHeight="1">
      <c r="D194" s="352"/>
    </row>
    <row r="195" ht="15.75" customHeight="1">
      <c r="D195" s="352"/>
    </row>
    <row r="196" ht="15.75" customHeight="1">
      <c r="D196" s="352"/>
    </row>
    <row r="197" ht="15.75" customHeight="1">
      <c r="D197" s="352"/>
    </row>
    <row r="198" ht="15.75" customHeight="1">
      <c r="D198" s="352"/>
    </row>
    <row r="199" ht="15.75" customHeight="1">
      <c r="D199" s="352"/>
    </row>
    <row r="200" ht="15.75" customHeight="1">
      <c r="D200" s="352"/>
    </row>
    <row r="201" ht="15.75" customHeight="1">
      <c r="D201" s="352"/>
    </row>
    <row r="202" ht="15.75" customHeight="1">
      <c r="D202" s="352"/>
    </row>
    <row r="203" ht="15.75" customHeight="1">
      <c r="D203" s="352"/>
    </row>
    <row r="204" ht="15.75" customHeight="1">
      <c r="D204" s="352"/>
    </row>
    <row r="205" ht="15.75" customHeight="1">
      <c r="D205" s="352"/>
    </row>
    <row r="206" ht="15.75" customHeight="1">
      <c r="D206" s="352"/>
    </row>
    <row r="207" ht="15.75" customHeight="1">
      <c r="D207" s="352"/>
    </row>
    <row r="208" ht="15.75" customHeight="1">
      <c r="D208" s="352"/>
    </row>
    <row r="209" ht="15.75" customHeight="1">
      <c r="D209" s="352"/>
    </row>
    <row r="210" ht="15.75" customHeight="1">
      <c r="D210" s="352"/>
    </row>
    <row r="211" ht="15.75" customHeight="1">
      <c r="D211" s="352"/>
    </row>
    <row r="212" ht="15.75" customHeight="1">
      <c r="D212" s="352"/>
    </row>
    <row r="213" ht="15.75" customHeight="1">
      <c r="D213" s="352"/>
    </row>
    <row r="214" ht="15.75" customHeight="1">
      <c r="D214" s="352"/>
    </row>
    <row r="215" ht="15.75" customHeight="1">
      <c r="D215" s="352"/>
    </row>
    <row r="216" ht="15.75" customHeight="1">
      <c r="D216" s="352"/>
    </row>
    <row r="217" ht="15.75" customHeight="1">
      <c r="D217" s="352"/>
    </row>
    <row r="218" ht="15.75" customHeight="1">
      <c r="D218" s="352"/>
    </row>
    <row r="219" ht="15.75" customHeight="1">
      <c r="D219" s="352"/>
    </row>
    <row r="220" ht="15.75" customHeight="1">
      <c r="D220" s="352"/>
    </row>
    <row r="221" ht="15.75" customHeight="1">
      <c r="D221" s="352"/>
    </row>
    <row r="222" ht="15.75" customHeight="1">
      <c r="D222" s="352"/>
    </row>
    <row r="223" ht="15.75" customHeight="1">
      <c r="D223" s="352"/>
    </row>
    <row r="224" ht="15.75" customHeight="1">
      <c r="D224" s="352"/>
    </row>
    <row r="225" ht="15.75" customHeight="1">
      <c r="D225" s="352"/>
    </row>
    <row r="226" ht="15.75" customHeight="1">
      <c r="D226" s="352"/>
    </row>
    <row r="227" ht="15.75" customHeight="1">
      <c r="D227" s="352"/>
    </row>
    <row r="228" ht="15.75" customHeight="1">
      <c r="D228" s="352"/>
    </row>
    <row r="229" ht="15.75" customHeight="1">
      <c r="D229" s="352"/>
    </row>
    <row r="230" ht="15.75" customHeight="1">
      <c r="D230" s="352"/>
    </row>
    <row r="231" ht="15.75" customHeight="1">
      <c r="D231" s="352"/>
    </row>
    <row r="232" ht="15.75" customHeight="1">
      <c r="D232" s="352"/>
    </row>
    <row r="233" ht="15.75" customHeight="1">
      <c r="D233" s="352"/>
    </row>
    <row r="234" ht="15.75" customHeight="1">
      <c r="D234" s="352"/>
    </row>
    <row r="235" ht="15.75" customHeight="1">
      <c r="D235" s="352"/>
    </row>
    <row r="236" ht="15.75" customHeight="1">
      <c r="D236" s="352"/>
    </row>
    <row r="237" ht="15.75" customHeight="1">
      <c r="D237" s="352"/>
    </row>
    <row r="238" ht="15.75" customHeight="1">
      <c r="D238" s="352"/>
    </row>
    <row r="239" ht="15.75" customHeight="1">
      <c r="D239" s="352"/>
    </row>
    <row r="240" ht="15.75" customHeight="1">
      <c r="D240" s="352"/>
    </row>
    <row r="241" ht="15.75" customHeight="1">
      <c r="D241" s="352"/>
    </row>
    <row r="242" ht="15.75" customHeight="1">
      <c r="D242" s="352"/>
    </row>
    <row r="243" ht="15.75" customHeight="1">
      <c r="D243" s="352"/>
    </row>
    <row r="244" ht="15.75" customHeight="1">
      <c r="D244" s="352"/>
    </row>
    <row r="245" ht="15.75" customHeight="1">
      <c r="D245" s="352"/>
    </row>
    <row r="246" ht="15.75" customHeight="1">
      <c r="D246" s="352"/>
    </row>
    <row r="247" ht="15.75" customHeight="1">
      <c r="D247" s="352"/>
    </row>
    <row r="248" ht="15.75" customHeight="1">
      <c r="D248" s="352"/>
    </row>
    <row r="249" ht="15.75" customHeight="1">
      <c r="D249" s="352"/>
    </row>
    <row r="250" ht="15.75" customHeight="1">
      <c r="D250" s="352"/>
    </row>
    <row r="251" ht="15.75" customHeight="1">
      <c r="D251" s="352"/>
    </row>
    <row r="252" ht="15.75" customHeight="1">
      <c r="D252" s="352"/>
    </row>
    <row r="253" ht="15.75" customHeight="1">
      <c r="D253" s="352"/>
    </row>
    <row r="254" ht="15.75" customHeight="1">
      <c r="D254" s="352"/>
    </row>
    <row r="255" ht="15.75" customHeight="1">
      <c r="D255" s="352"/>
    </row>
    <row r="256" ht="15.75" customHeight="1">
      <c r="D256" s="352"/>
    </row>
    <row r="257" ht="15.75" customHeight="1">
      <c r="D257" s="352"/>
    </row>
    <row r="258" ht="15.75" customHeight="1">
      <c r="D258" s="352"/>
    </row>
    <row r="259" ht="15.75" customHeight="1">
      <c r="D259" s="352"/>
    </row>
    <row r="260" ht="15.75" customHeight="1">
      <c r="D260" s="352"/>
    </row>
    <row r="261" ht="15.75" customHeight="1">
      <c r="D261" s="352"/>
    </row>
    <row r="262" ht="15.75" customHeight="1">
      <c r="D262" s="352"/>
    </row>
    <row r="263" ht="15.75" customHeight="1">
      <c r="D263" s="352"/>
    </row>
    <row r="264" ht="15.75" customHeight="1">
      <c r="D264" s="352"/>
    </row>
    <row r="265" ht="15.75" customHeight="1">
      <c r="D265" s="352"/>
    </row>
    <row r="266" ht="15.75" customHeight="1">
      <c r="D266" s="352"/>
    </row>
    <row r="267" ht="15.75" customHeight="1">
      <c r="D267" s="352"/>
    </row>
    <row r="268" ht="15.75" customHeight="1">
      <c r="D268" s="352"/>
    </row>
    <row r="269" ht="15.75" customHeight="1">
      <c r="D269" s="352"/>
    </row>
    <row r="270" ht="15.75" customHeight="1">
      <c r="D270" s="352"/>
    </row>
    <row r="271" ht="15.75" customHeight="1">
      <c r="D271" s="352"/>
    </row>
    <row r="272" ht="15.75" customHeight="1">
      <c r="D272" s="352"/>
    </row>
    <row r="273" ht="15.75" customHeight="1">
      <c r="D273" s="352"/>
    </row>
    <row r="274" ht="15.75" customHeight="1">
      <c r="D274" s="352"/>
    </row>
    <row r="275" ht="15.75" customHeight="1">
      <c r="D275" s="352"/>
    </row>
    <row r="276" ht="15.75" customHeight="1">
      <c r="D276" s="352"/>
    </row>
    <row r="277" ht="15.75" customHeight="1">
      <c r="D277" s="352"/>
    </row>
    <row r="278" ht="15.75" customHeight="1">
      <c r="D278" s="352"/>
    </row>
    <row r="279" ht="15.75" customHeight="1">
      <c r="D279" s="352"/>
    </row>
    <row r="280" ht="15.75" customHeight="1">
      <c r="D280" s="352"/>
    </row>
    <row r="281" ht="15.75" customHeight="1">
      <c r="D281" s="352"/>
    </row>
    <row r="282" ht="15.75" customHeight="1">
      <c r="D282" s="352"/>
    </row>
    <row r="283" ht="15.75" customHeight="1">
      <c r="D283" s="352"/>
    </row>
    <row r="284" ht="15.75" customHeight="1">
      <c r="D284" s="352"/>
    </row>
    <row r="285" ht="15.75" customHeight="1">
      <c r="D285" s="352"/>
    </row>
    <row r="286" ht="15.75" customHeight="1">
      <c r="D286" s="352"/>
    </row>
    <row r="287" ht="15.75" customHeight="1">
      <c r="D287" s="352"/>
    </row>
    <row r="288" ht="15.75" customHeight="1">
      <c r="D288" s="352"/>
    </row>
    <row r="289" ht="15.75" customHeight="1">
      <c r="D289" s="352"/>
    </row>
    <row r="290" ht="15.75" customHeight="1">
      <c r="D290" s="352"/>
    </row>
    <row r="291" ht="15.75" customHeight="1">
      <c r="D291" s="352"/>
    </row>
    <row r="292" ht="15.75" customHeight="1">
      <c r="D292" s="352"/>
    </row>
    <row r="293" ht="15.75" customHeight="1">
      <c r="D293" s="352"/>
    </row>
    <row r="294" ht="15.75" customHeight="1">
      <c r="D294" s="352"/>
    </row>
    <row r="295" ht="15.75" customHeight="1">
      <c r="D295" s="352"/>
    </row>
    <row r="296" ht="15.75" customHeight="1">
      <c r="D296" s="352"/>
    </row>
    <row r="297" ht="15.75" customHeight="1">
      <c r="D297" s="352"/>
    </row>
    <row r="298" ht="15.75" customHeight="1">
      <c r="D298" s="352"/>
    </row>
    <row r="299" ht="15.75" customHeight="1">
      <c r="D299" s="352"/>
    </row>
    <row r="300" ht="15.75" customHeight="1">
      <c r="D300" s="352"/>
    </row>
    <row r="301" ht="15.75" customHeight="1">
      <c r="D301" s="352"/>
    </row>
    <row r="302" ht="15.75" customHeight="1">
      <c r="D302" s="352"/>
    </row>
    <row r="303" ht="15.75" customHeight="1">
      <c r="D303" s="352"/>
    </row>
    <row r="304" ht="15.75" customHeight="1">
      <c r="D304" s="352"/>
    </row>
    <row r="305" ht="15.75" customHeight="1">
      <c r="D305" s="352"/>
    </row>
    <row r="306" ht="15.75" customHeight="1">
      <c r="D306" s="352"/>
    </row>
    <row r="307" ht="15.75" customHeight="1">
      <c r="D307" s="352"/>
    </row>
    <row r="308" ht="15.75" customHeight="1">
      <c r="D308" s="352"/>
    </row>
    <row r="309" ht="15.75" customHeight="1">
      <c r="D309" s="352"/>
    </row>
    <row r="310" ht="15.75" customHeight="1">
      <c r="D310" s="352"/>
    </row>
    <row r="311" ht="15.75" customHeight="1">
      <c r="D311" s="352"/>
    </row>
    <row r="312" ht="15.75" customHeight="1">
      <c r="D312" s="352"/>
    </row>
    <row r="313" ht="15.75" customHeight="1">
      <c r="D313" s="352"/>
    </row>
    <row r="314" ht="15.75" customHeight="1">
      <c r="D314" s="352"/>
    </row>
    <row r="315" ht="15.75" customHeight="1">
      <c r="D315" s="352"/>
    </row>
    <row r="316" ht="15.75" customHeight="1">
      <c r="D316" s="352"/>
    </row>
    <row r="317" ht="15.75" customHeight="1">
      <c r="D317" s="352"/>
    </row>
    <row r="318" ht="15.75" customHeight="1">
      <c r="D318" s="352"/>
    </row>
    <row r="319" ht="15.75" customHeight="1">
      <c r="D319" s="352"/>
    </row>
    <row r="320" ht="15.75" customHeight="1">
      <c r="D320" s="352"/>
    </row>
    <row r="321" ht="15.75" customHeight="1">
      <c r="D321" s="352"/>
    </row>
    <row r="322" ht="15.75" customHeight="1">
      <c r="D322" s="352"/>
    </row>
    <row r="323" ht="15.75" customHeight="1">
      <c r="D323" s="352"/>
    </row>
    <row r="324" ht="15.75" customHeight="1">
      <c r="D324" s="352"/>
    </row>
    <row r="325" ht="15.75" customHeight="1">
      <c r="D325" s="352"/>
    </row>
    <row r="326" ht="15.75" customHeight="1">
      <c r="D326" s="352"/>
    </row>
    <row r="327" ht="15.75" customHeight="1">
      <c r="D327" s="352"/>
    </row>
    <row r="328" ht="15.75" customHeight="1">
      <c r="D328" s="352"/>
    </row>
    <row r="329" ht="15.75" customHeight="1">
      <c r="D329" s="352"/>
    </row>
    <row r="330" ht="15.75" customHeight="1">
      <c r="D330" s="352"/>
    </row>
    <row r="331" ht="15.75" customHeight="1">
      <c r="D331" s="352"/>
    </row>
    <row r="332" ht="15.75" customHeight="1">
      <c r="D332" s="352"/>
    </row>
    <row r="333" ht="15.75" customHeight="1">
      <c r="D333" s="352"/>
    </row>
    <row r="334" ht="15.75" customHeight="1">
      <c r="D334" s="352"/>
    </row>
    <row r="335" ht="15.75" customHeight="1">
      <c r="D335" s="352"/>
    </row>
    <row r="336" ht="15.75" customHeight="1">
      <c r="D336" s="352"/>
    </row>
    <row r="337" ht="15.75" customHeight="1">
      <c r="D337" s="352"/>
    </row>
    <row r="338" ht="15.75" customHeight="1">
      <c r="D338" s="352"/>
    </row>
    <row r="339" ht="15.75" customHeight="1">
      <c r="D339" s="352"/>
    </row>
    <row r="340" ht="15.75" customHeight="1">
      <c r="D340" s="352"/>
    </row>
    <row r="341" ht="15.75" customHeight="1">
      <c r="D341" s="352"/>
    </row>
    <row r="342" ht="15.75" customHeight="1">
      <c r="D342" s="352"/>
    </row>
    <row r="343" ht="15.75" customHeight="1">
      <c r="D343" s="352"/>
    </row>
    <row r="344" ht="15.75" customHeight="1">
      <c r="D344" s="352"/>
    </row>
    <row r="345" ht="15.75" customHeight="1">
      <c r="D345" s="352"/>
    </row>
    <row r="346" ht="15.75" customHeight="1">
      <c r="D346" s="352"/>
    </row>
    <row r="347" ht="15.75" customHeight="1">
      <c r="D347" s="352"/>
    </row>
    <row r="348" ht="15.75" customHeight="1">
      <c r="D348" s="352"/>
    </row>
    <row r="349" ht="15.75" customHeight="1">
      <c r="D349" s="352"/>
    </row>
    <row r="350" ht="15.75" customHeight="1">
      <c r="D350" s="352"/>
    </row>
    <row r="351" ht="15.75" customHeight="1">
      <c r="D351" s="352"/>
    </row>
    <row r="352" ht="15.75" customHeight="1">
      <c r="D352" s="352"/>
    </row>
    <row r="353" ht="15.75" customHeight="1">
      <c r="D353" s="352"/>
    </row>
    <row r="354" ht="15.75" customHeight="1">
      <c r="D354" s="352"/>
    </row>
    <row r="355" ht="15.75" customHeight="1">
      <c r="D355" s="352"/>
    </row>
    <row r="356" ht="15.75" customHeight="1">
      <c r="D356" s="352"/>
    </row>
    <row r="357" ht="15.75" customHeight="1">
      <c r="D357" s="352"/>
    </row>
    <row r="358" ht="15.75" customHeight="1">
      <c r="D358" s="352"/>
    </row>
    <row r="359" ht="15.75" customHeight="1">
      <c r="D359" s="352"/>
    </row>
    <row r="360" ht="15.75" customHeight="1">
      <c r="D360" s="352"/>
    </row>
    <row r="361" ht="15.75" customHeight="1">
      <c r="D361" s="352"/>
    </row>
    <row r="362" ht="15.75" customHeight="1">
      <c r="D362" s="352"/>
    </row>
    <row r="363" ht="15.75" customHeight="1">
      <c r="D363" s="352"/>
    </row>
    <row r="364" ht="15.75" customHeight="1">
      <c r="D364" s="352"/>
    </row>
    <row r="365" ht="15.75" customHeight="1">
      <c r="D365" s="352"/>
    </row>
    <row r="366" ht="15.75" customHeight="1">
      <c r="D366" s="352"/>
    </row>
    <row r="367" ht="15.75" customHeight="1">
      <c r="D367" s="352"/>
    </row>
    <row r="368" ht="15.75" customHeight="1">
      <c r="D368" s="352"/>
    </row>
    <row r="369" ht="15.75" customHeight="1">
      <c r="D369" s="352"/>
    </row>
    <row r="370" ht="15.75" customHeight="1">
      <c r="D370" s="352"/>
    </row>
    <row r="371" ht="15.75" customHeight="1">
      <c r="D371" s="352"/>
    </row>
    <row r="372" ht="15.75" customHeight="1">
      <c r="D372" s="352"/>
    </row>
    <row r="373" ht="15.75" customHeight="1">
      <c r="D373" s="352"/>
    </row>
    <row r="374" ht="15.75" customHeight="1">
      <c r="D374" s="352"/>
    </row>
    <row r="375" ht="15.75" customHeight="1">
      <c r="D375" s="352"/>
    </row>
    <row r="376" ht="15.75" customHeight="1">
      <c r="D376" s="352"/>
    </row>
    <row r="377" ht="15.75" customHeight="1">
      <c r="D377" s="352"/>
    </row>
    <row r="378" ht="15.75" customHeight="1">
      <c r="D378" s="352"/>
    </row>
    <row r="379" ht="15.75" customHeight="1">
      <c r="D379" s="352"/>
    </row>
    <row r="380" ht="15.75" customHeight="1">
      <c r="D380" s="352"/>
    </row>
    <row r="381" ht="15.75" customHeight="1">
      <c r="D381" s="352"/>
    </row>
    <row r="382" ht="15.75" customHeight="1">
      <c r="D382" s="352"/>
    </row>
    <row r="383" ht="15.75" customHeight="1">
      <c r="D383" s="352"/>
    </row>
    <row r="384" ht="15.75" customHeight="1">
      <c r="D384" s="352"/>
    </row>
    <row r="385" ht="15.75" customHeight="1">
      <c r="D385" s="352"/>
    </row>
    <row r="386" ht="15.75" customHeight="1">
      <c r="D386" s="352"/>
    </row>
    <row r="387" ht="15.75" customHeight="1">
      <c r="D387" s="352"/>
    </row>
    <row r="388" ht="15.75" customHeight="1">
      <c r="D388" s="352"/>
    </row>
    <row r="389" ht="15.75" customHeight="1">
      <c r="D389" s="352"/>
    </row>
    <row r="390" ht="15.75" customHeight="1">
      <c r="D390" s="352"/>
    </row>
    <row r="391" ht="15.75" customHeight="1">
      <c r="D391" s="352"/>
    </row>
    <row r="392" ht="15.75" customHeight="1">
      <c r="D392" s="352"/>
    </row>
    <row r="393" ht="15.75" customHeight="1">
      <c r="D393" s="352"/>
    </row>
    <row r="394" ht="15.75" customHeight="1">
      <c r="D394" s="352"/>
    </row>
    <row r="395" ht="15.75" customHeight="1">
      <c r="D395" s="352"/>
    </row>
    <row r="396" ht="15.75" customHeight="1">
      <c r="D396" s="352"/>
    </row>
    <row r="397" ht="15.75" customHeight="1">
      <c r="D397" s="352"/>
    </row>
    <row r="398" ht="15.75" customHeight="1">
      <c r="D398" s="352"/>
    </row>
    <row r="399" ht="15.75" customHeight="1">
      <c r="D399" s="352"/>
    </row>
    <row r="400" ht="15.75" customHeight="1">
      <c r="D400" s="352"/>
    </row>
    <row r="401" ht="15.75" customHeight="1">
      <c r="D401" s="352"/>
    </row>
    <row r="402" ht="15.75" customHeight="1">
      <c r="D402" s="352"/>
    </row>
    <row r="403" ht="15.75" customHeight="1">
      <c r="D403" s="352"/>
    </row>
    <row r="404" ht="15.75" customHeight="1">
      <c r="D404" s="352"/>
    </row>
    <row r="405" ht="15.75" customHeight="1">
      <c r="D405" s="352"/>
    </row>
    <row r="406" ht="15.75" customHeight="1">
      <c r="D406" s="352"/>
    </row>
    <row r="407" ht="15.75" customHeight="1">
      <c r="D407" s="352"/>
    </row>
    <row r="408" ht="15.75" customHeight="1">
      <c r="D408" s="352"/>
    </row>
    <row r="409" ht="15.75" customHeight="1">
      <c r="D409" s="352"/>
    </row>
    <row r="410" ht="15.75" customHeight="1">
      <c r="D410" s="352"/>
    </row>
    <row r="411" ht="15.75" customHeight="1">
      <c r="D411" s="352"/>
    </row>
    <row r="412" ht="15.75" customHeight="1">
      <c r="D412" s="352"/>
    </row>
    <row r="413" ht="15.75" customHeight="1">
      <c r="D413" s="352"/>
    </row>
    <row r="414" ht="15.75" customHeight="1">
      <c r="D414" s="352"/>
    </row>
    <row r="415" ht="15.75" customHeight="1">
      <c r="D415" s="352"/>
    </row>
    <row r="416" ht="15.75" customHeight="1">
      <c r="D416" s="352"/>
    </row>
    <row r="417" ht="15.75" customHeight="1">
      <c r="D417" s="352"/>
    </row>
    <row r="418" ht="15.75" customHeight="1">
      <c r="D418" s="352"/>
    </row>
    <row r="419" ht="15.75" customHeight="1">
      <c r="D419" s="352"/>
    </row>
    <row r="420" ht="15.75" customHeight="1">
      <c r="D420" s="352"/>
    </row>
    <row r="421" ht="15.75" customHeight="1">
      <c r="D421" s="352"/>
    </row>
    <row r="422" ht="15.75" customHeight="1">
      <c r="D422" s="352"/>
    </row>
    <row r="423" ht="15.75" customHeight="1">
      <c r="D423" s="352"/>
    </row>
    <row r="424" ht="15.75" customHeight="1">
      <c r="D424" s="352"/>
    </row>
    <row r="425" ht="15.75" customHeight="1">
      <c r="D425" s="352"/>
    </row>
    <row r="426" ht="15.75" customHeight="1">
      <c r="D426" s="352"/>
    </row>
    <row r="427" ht="15.75" customHeight="1">
      <c r="D427" s="352"/>
    </row>
    <row r="428" ht="15.75" customHeight="1">
      <c r="D428" s="352"/>
    </row>
    <row r="429" ht="15.75" customHeight="1">
      <c r="D429" s="352"/>
    </row>
    <row r="430" ht="15.75" customHeight="1">
      <c r="D430" s="352"/>
    </row>
    <row r="431" ht="15.75" customHeight="1">
      <c r="D431" s="352"/>
    </row>
    <row r="432" ht="15.75" customHeight="1">
      <c r="D432" s="352"/>
    </row>
    <row r="433" ht="15.75" customHeight="1">
      <c r="D433" s="352"/>
    </row>
    <row r="434" ht="15.75" customHeight="1">
      <c r="D434" s="352"/>
    </row>
    <row r="435" ht="15.75" customHeight="1">
      <c r="D435" s="352"/>
    </row>
    <row r="436" ht="15.75" customHeight="1">
      <c r="D436" s="352"/>
    </row>
    <row r="437" ht="15.75" customHeight="1">
      <c r="D437" s="352"/>
    </row>
    <row r="438" ht="15.75" customHeight="1">
      <c r="D438" s="352"/>
    </row>
    <row r="439" ht="15.75" customHeight="1">
      <c r="D439" s="352"/>
    </row>
    <row r="440" ht="15.75" customHeight="1">
      <c r="D440" s="352"/>
    </row>
    <row r="441" ht="15.75" customHeight="1">
      <c r="D441" s="352"/>
    </row>
    <row r="442" ht="15.75" customHeight="1">
      <c r="D442" s="352"/>
    </row>
    <row r="443" ht="15.75" customHeight="1">
      <c r="D443" s="352"/>
    </row>
    <row r="444" ht="15.75" customHeight="1">
      <c r="D444" s="352"/>
    </row>
    <row r="445" ht="15.75" customHeight="1">
      <c r="D445" s="352"/>
    </row>
    <row r="446" ht="15.75" customHeight="1">
      <c r="D446" s="352"/>
    </row>
    <row r="447" ht="15.75" customHeight="1">
      <c r="D447" s="352"/>
    </row>
    <row r="448" ht="15.75" customHeight="1">
      <c r="D448" s="352"/>
    </row>
    <row r="449" ht="15.75" customHeight="1">
      <c r="D449" s="352"/>
    </row>
    <row r="450" ht="15.75" customHeight="1">
      <c r="D450" s="352"/>
    </row>
    <row r="451" ht="15.75" customHeight="1">
      <c r="D451" s="352"/>
    </row>
    <row r="452" ht="15.75" customHeight="1">
      <c r="D452" s="352"/>
    </row>
    <row r="453" ht="15.75" customHeight="1">
      <c r="D453" s="352"/>
    </row>
    <row r="454" ht="15.75" customHeight="1">
      <c r="D454" s="352"/>
    </row>
    <row r="455" ht="15.75" customHeight="1">
      <c r="D455" s="352"/>
    </row>
    <row r="456" ht="15.75" customHeight="1">
      <c r="D456" s="352"/>
    </row>
    <row r="457" ht="15.75" customHeight="1">
      <c r="D457" s="352"/>
    </row>
    <row r="458" ht="15.75" customHeight="1">
      <c r="D458" s="352"/>
    </row>
    <row r="459" ht="15.75" customHeight="1">
      <c r="D459" s="352"/>
    </row>
    <row r="460" ht="15.75" customHeight="1">
      <c r="D460" s="352"/>
    </row>
    <row r="461" ht="15.75" customHeight="1">
      <c r="D461" s="352"/>
    </row>
    <row r="462" ht="15.75" customHeight="1">
      <c r="D462" s="352"/>
    </row>
    <row r="463" ht="15.75" customHeight="1">
      <c r="D463" s="352"/>
    </row>
    <row r="464" ht="15.75" customHeight="1">
      <c r="D464" s="352"/>
    </row>
    <row r="465" ht="15.75" customHeight="1">
      <c r="D465" s="352"/>
    </row>
    <row r="466" ht="15.75" customHeight="1">
      <c r="D466" s="352"/>
    </row>
    <row r="467" ht="15.75" customHeight="1">
      <c r="D467" s="352"/>
    </row>
    <row r="468" ht="15.75" customHeight="1">
      <c r="D468" s="352"/>
    </row>
    <row r="469" ht="15.75" customHeight="1">
      <c r="D469" s="352"/>
    </row>
    <row r="470" ht="15.75" customHeight="1">
      <c r="D470" s="352"/>
    </row>
    <row r="471" ht="15.75" customHeight="1">
      <c r="D471" s="352"/>
    </row>
    <row r="472" ht="15.75" customHeight="1">
      <c r="D472" s="352"/>
    </row>
    <row r="473" ht="15.75" customHeight="1">
      <c r="D473" s="352"/>
    </row>
    <row r="474" ht="15.75" customHeight="1">
      <c r="D474" s="352"/>
    </row>
    <row r="475" ht="15.75" customHeight="1">
      <c r="D475" s="352"/>
    </row>
    <row r="476" ht="15.75" customHeight="1">
      <c r="D476" s="352"/>
    </row>
    <row r="477" ht="15.75" customHeight="1">
      <c r="D477" s="352"/>
    </row>
    <row r="478" ht="15.75" customHeight="1">
      <c r="D478" s="352"/>
    </row>
    <row r="479" ht="15.75" customHeight="1">
      <c r="D479" s="352"/>
    </row>
    <row r="480" ht="15.75" customHeight="1">
      <c r="D480" s="352"/>
    </row>
    <row r="481" ht="15.75" customHeight="1">
      <c r="D481" s="352"/>
    </row>
    <row r="482" ht="15.75" customHeight="1">
      <c r="D482" s="352"/>
    </row>
    <row r="483" ht="15.75" customHeight="1">
      <c r="D483" s="352"/>
    </row>
    <row r="484" ht="15.75" customHeight="1">
      <c r="D484" s="352"/>
    </row>
    <row r="485" ht="15.75" customHeight="1">
      <c r="D485" s="352"/>
    </row>
    <row r="486" ht="15.75" customHeight="1">
      <c r="D486" s="352"/>
    </row>
    <row r="487" ht="15.75" customHeight="1">
      <c r="D487" s="352"/>
    </row>
    <row r="488" ht="15.75" customHeight="1">
      <c r="D488" s="352"/>
    </row>
    <row r="489" ht="15.75" customHeight="1">
      <c r="D489" s="352"/>
    </row>
    <row r="490" ht="15.75" customHeight="1">
      <c r="D490" s="352"/>
    </row>
    <row r="491" ht="15.75" customHeight="1">
      <c r="D491" s="352"/>
    </row>
    <row r="492" ht="15.75" customHeight="1">
      <c r="D492" s="352"/>
    </row>
    <row r="493" ht="15.75" customHeight="1">
      <c r="D493" s="352"/>
    </row>
    <row r="494" ht="15.75" customHeight="1">
      <c r="D494" s="352"/>
    </row>
    <row r="495" ht="15.75" customHeight="1">
      <c r="D495" s="352"/>
    </row>
    <row r="496" ht="15.75" customHeight="1">
      <c r="D496" s="352"/>
    </row>
    <row r="497" ht="15.75" customHeight="1">
      <c r="D497" s="352"/>
    </row>
    <row r="498" ht="15.75" customHeight="1">
      <c r="D498" s="352"/>
    </row>
    <row r="499" ht="15.75" customHeight="1">
      <c r="D499" s="352"/>
    </row>
    <row r="500" ht="15.75" customHeight="1">
      <c r="D500" s="352"/>
    </row>
    <row r="501" ht="15.75" customHeight="1">
      <c r="D501" s="352"/>
    </row>
    <row r="502" ht="15.75" customHeight="1">
      <c r="D502" s="352"/>
    </row>
    <row r="503" ht="15.75" customHeight="1">
      <c r="D503" s="352"/>
    </row>
    <row r="504" ht="15.75" customHeight="1">
      <c r="D504" s="352"/>
    </row>
    <row r="505" ht="15.75" customHeight="1">
      <c r="D505" s="352"/>
    </row>
    <row r="506" ht="15.75" customHeight="1">
      <c r="D506" s="352"/>
    </row>
    <row r="507" ht="15.75" customHeight="1">
      <c r="D507" s="352"/>
    </row>
    <row r="508" ht="15.75" customHeight="1">
      <c r="D508" s="352"/>
    </row>
    <row r="509" ht="15.75" customHeight="1">
      <c r="D509" s="352"/>
    </row>
    <row r="510" ht="15.75" customHeight="1">
      <c r="D510" s="352"/>
    </row>
    <row r="511" ht="15.75" customHeight="1">
      <c r="D511" s="352"/>
    </row>
    <row r="512" ht="15.75" customHeight="1">
      <c r="D512" s="352"/>
    </row>
    <row r="513" ht="15.75" customHeight="1">
      <c r="D513" s="352"/>
    </row>
    <row r="514" ht="15.75" customHeight="1">
      <c r="D514" s="352"/>
    </row>
    <row r="515" ht="15.75" customHeight="1">
      <c r="D515" s="352"/>
    </row>
    <row r="516" ht="15.75" customHeight="1">
      <c r="D516" s="352"/>
    </row>
    <row r="517" ht="15.75" customHeight="1">
      <c r="D517" s="352"/>
    </row>
    <row r="518" ht="15.75" customHeight="1">
      <c r="D518" s="352"/>
    </row>
    <row r="519" ht="15.75" customHeight="1">
      <c r="D519" s="352"/>
    </row>
    <row r="520" ht="15.75" customHeight="1">
      <c r="D520" s="352"/>
    </row>
    <row r="521" ht="15.75" customHeight="1">
      <c r="D521" s="352"/>
    </row>
    <row r="522" ht="15.75" customHeight="1">
      <c r="D522" s="352"/>
    </row>
    <row r="523" ht="15.75" customHeight="1">
      <c r="D523" s="352"/>
    </row>
    <row r="524" ht="15.75" customHeight="1">
      <c r="D524" s="352"/>
    </row>
    <row r="525" ht="15.75" customHeight="1">
      <c r="D525" s="352"/>
    </row>
    <row r="526" ht="15.75" customHeight="1">
      <c r="D526" s="352"/>
    </row>
    <row r="527" ht="15.75" customHeight="1">
      <c r="D527" s="352"/>
    </row>
    <row r="528" ht="15.75" customHeight="1">
      <c r="D528" s="352"/>
    </row>
    <row r="529" ht="15.75" customHeight="1">
      <c r="D529" s="352"/>
    </row>
    <row r="530" ht="15.75" customHeight="1">
      <c r="D530" s="352"/>
    </row>
    <row r="531" ht="15.75" customHeight="1">
      <c r="D531" s="352"/>
    </row>
    <row r="532" ht="15.75" customHeight="1">
      <c r="D532" s="352"/>
    </row>
    <row r="533" ht="15.75" customHeight="1">
      <c r="D533" s="352"/>
    </row>
    <row r="534" ht="15.75" customHeight="1">
      <c r="D534" s="352"/>
    </row>
    <row r="535" ht="15.75" customHeight="1">
      <c r="D535" s="352"/>
    </row>
    <row r="536" ht="15.75" customHeight="1">
      <c r="D536" s="352"/>
    </row>
    <row r="537" ht="15.75" customHeight="1">
      <c r="D537" s="352"/>
    </row>
    <row r="538" ht="15.75" customHeight="1">
      <c r="D538" s="352"/>
    </row>
    <row r="539" ht="15.75" customHeight="1">
      <c r="D539" s="352"/>
    </row>
    <row r="540" ht="15.75" customHeight="1">
      <c r="D540" s="352"/>
    </row>
    <row r="541" ht="15.75" customHeight="1">
      <c r="D541" s="352"/>
    </row>
    <row r="542" ht="15.75" customHeight="1">
      <c r="D542" s="352"/>
    </row>
    <row r="543" ht="15.75" customHeight="1">
      <c r="D543" s="352"/>
    </row>
    <row r="544" ht="15.75" customHeight="1">
      <c r="D544" s="352"/>
    </row>
    <row r="545" ht="15.75" customHeight="1">
      <c r="D545" s="352"/>
    </row>
    <row r="546" ht="15.75" customHeight="1">
      <c r="D546" s="352"/>
    </row>
    <row r="547" ht="15.75" customHeight="1">
      <c r="D547" s="352"/>
    </row>
    <row r="548" ht="15.75" customHeight="1">
      <c r="D548" s="352"/>
    </row>
    <row r="549" ht="15.75" customHeight="1">
      <c r="D549" s="352"/>
    </row>
    <row r="550" ht="15.75" customHeight="1">
      <c r="D550" s="352"/>
    </row>
    <row r="551" ht="15.75" customHeight="1">
      <c r="D551" s="352"/>
    </row>
    <row r="552" ht="15.75" customHeight="1">
      <c r="D552" s="352"/>
    </row>
    <row r="553" ht="15.75" customHeight="1">
      <c r="D553" s="352"/>
    </row>
    <row r="554" ht="15.75" customHeight="1">
      <c r="D554" s="352"/>
    </row>
    <row r="555" ht="15.75" customHeight="1">
      <c r="D555" s="352"/>
    </row>
    <row r="556" ht="15.75" customHeight="1">
      <c r="D556" s="352"/>
    </row>
    <row r="557" ht="15.75" customHeight="1">
      <c r="D557" s="352"/>
    </row>
    <row r="558" ht="15.75" customHeight="1">
      <c r="D558" s="352"/>
    </row>
    <row r="559" ht="15.75" customHeight="1">
      <c r="D559" s="352"/>
    </row>
    <row r="560" ht="15.75" customHeight="1">
      <c r="D560" s="352"/>
    </row>
    <row r="561" ht="15.75" customHeight="1">
      <c r="D561" s="352"/>
    </row>
    <row r="562" ht="15.75" customHeight="1">
      <c r="D562" s="352"/>
    </row>
    <row r="563" ht="15.75" customHeight="1">
      <c r="D563" s="352"/>
    </row>
    <row r="564" ht="15.75" customHeight="1">
      <c r="D564" s="352"/>
    </row>
    <row r="565" ht="15.75" customHeight="1">
      <c r="D565" s="352"/>
    </row>
    <row r="566" ht="15.75" customHeight="1">
      <c r="D566" s="352"/>
    </row>
    <row r="567" ht="15.75" customHeight="1">
      <c r="D567" s="352"/>
    </row>
    <row r="568" ht="15.75" customHeight="1">
      <c r="D568" s="352"/>
    </row>
    <row r="569" ht="15.75" customHeight="1">
      <c r="D569" s="352"/>
    </row>
    <row r="570" ht="15.75" customHeight="1">
      <c r="D570" s="352"/>
    </row>
    <row r="571" ht="15.75" customHeight="1">
      <c r="D571" s="352"/>
    </row>
    <row r="572" ht="15.75" customHeight="1">
      <c r="D572" s="352"/>
    </row>
    <row r="573" ht="15.75" customHeight="1">
      <c r="D573" s="352"/>
    </row>
    <row r="574" ht="15.75" customHeight="1">
      <c r="D574" s="352"/>
    </row>
    <row r="575" ht="15.75" customHeight="1">
      <c r="D575" s="352"/>
    </row>
    <row r="576" ht="15.75" customHeight="1">
      <c r="D576" s="352"/>
    </row>
    <row r="577" ht="15.75" customHeight="1">
      <c r="D577" s="352"/>
    </row>
    <row r="578" ht="15.75" customHeight="1">
      <c r="D578" s="352"/>
    </row>
    <row r="579" ht="15.75" customHeight="1">
      <c r="D579" s="352"/>
    </row>
    <row r="580" ht="15.75" customHeight="1">
      <c r="D580" s="352"/>
    </row>
    <row r="581" ht="15.75" customHeight="1">
      <c r="D581" s="352"/>
    </row>
    <row r="582" ht="15.75" customHeight="1">
      <c r="D582" s="352"/>
    </row>
    <row r="583" ht="15.75" customHeight="1">
      <c r="D583" s="352"/>
    </row>
    <row r="584" ht="15.75" customHeight="1">
      <c r="D584" s="352"/>
    </row>
    <row r="585" ht="15.75" customHeight="1">
      <c r="D585" s="352"/>
    </row>
    <row r="586" ht="15.75" customHeight="1">
      <c r="D586" s="352"/>
    </row>
    <row r="587" ht="15.75" customHeight="1">
      <c r="D587" s="352"/>
    </row>
    <row r="588" ht="15.75" customHeight="1">
      <c r="D588" s="352"/>
    </row>
    <row r="589" ht="15.75" customHeight="1">
      <c r="D589" s="352"/>
    </row>
    <row r="590" ht="15.75" customHeight="1">
      <c r="D590" s="352"/>
    </row>
    <row r="591" ht="15.75" customHeight="1">
      <c r="D591" s="352"/>
    </row>
    <row r="592" ht="15.75" customHeight="1">
      <c r="D592" s="352"/>
    </row>
    <row r="593" ht="15.75" customHeight="1">
      <c r="D593" s="352"/>
    </row>
    <row r="594" ht="15.75" customHeight="1">
      <c r="D594" s="352"/>
    </row>
    <row r="595" ht="15.75" customHeight="1">
      <c r="D595" s="352"/>
    </row>
    <row r="596" ht="15.75" customHeight="1">
      <c r="D596" s="352"/>
    </row>
    <row r="597" ht="15.75" customHeight="1">
      <c r="D597" s="352"/>
    </row>
    <row r="598" ht="15.75" customHeight="1">
      <c r="D598" s="352"/>
    </row>
    <row r="599" ht="15.75" customHeight="1">
      <c r="D599" s="352"/>
    </row>
    <row r="600" ht="15.75" customHeight="1">
      <c r="D600" s="352"/>
    </row>
    <row r="601" ht="15.75" customHeight="1">
      <c r="D601" s="352"/>
    </row>
    <row r="602" ht="15.75" customHeight="1">
      <c r="D602" s="352"/>
    </row>
    <row r="603" ht="15.75" customHeight="1">
      <c r="D603" s="352"/>
    </row>
    <row r="604" ht="15.75" customHeight="1">
      <c r="D604" s="352"/>
    </row>
    <row r="605" ht="15.75" customHeight="1">
      <c r="D605" s="352"/>
    </row>
    <row r="606" ht="15.75" customHeight="1">
      <c r="D606" s="352"/>
    </row>
    <row r="607" ht="15.75" customHeight="1">
      <c r="D607" s="352"/>
    </row>
    <row r="608" ht="15.75" customHeight="1">
      <c r="D608" s="352"/>
    </row>
    <row r="609" ht="15.75" customHeight="1">
      <c r="D609" s="352"/>
    </row>
    <row r="610" ht="15.75" customHeight="1">
      <c r="D610" s="352"/>
    </row>
    <row r="611" ht="15.75" customHeight="1">
      <c r="D611" s="352"/>
    </row>
    <row r="612" ht="15.75" customHeight="1">
      <c r="D612" s="352"/>
    </row>
    <row r="613" ht="15.75" customHeight="1">
      <c r="D613" s="352"/>
    </row>
    <row r="614" ht="15.75" customHeight="1">
      <c r="D614" s="352"/>
    </row>
    <row r="615" ht="15.75" customHeight="1">
      <c r="D615" s="352"/>
    </row>
    <row r="616" ht="15.75" customHeight="1">
      <c r="D616" s="352"/>
    </row>
    <row r="617" ht="15.75" customHeight="1">
      <c r="D617" s="352"/>
    </row>
    <row r="618" ht="15.75" customHeight="1">
      <c r="D618" s="352"/>
    </row>
    <row r="619" ht="15.75" customHeight="1">
      <c r="D619" s="352"/>
    </row>
    <row r="620" ht="15.75" customHeight="1">
      <c r="D620" s="352"/>
    </row>
    <row r="621" ht="15.75" customHeight="1">
      <c r="D621" s="352"/>
    </row>
    <row r="622" ht="15.75" customHeight="1">
      <c r="D622" s="352"/>
    </row>
    <row r="623" ht="15.75" customHeight="1">
      <c r="D623" s="352"/>
    </row>
    <row r="624" ht="15.75" customHeight="1">
      <c r="D624" s="352"/>
    </row>
    <row r="625" ht="15.75" customHeight="1">
      <c r="D625" s="352"/>
    </row>
    <row r="626" ht="15.75" customHeight="1">
      <c r="D626" s="352"/>
    </row>
    <row r="627" ht="15.75" customHeight="1">
      <c r="D627" s="352"/>
    </row>
    <row r="628" ht="15.75" customHeight="1">
      <c r="D628" s="352"/>
    </row>
    <row r="629" ht="15.75" customHeight="1">
      <c r="D629" s="352"/>
    </row>
    <row r="630" ht="15.75" customHeight="1">
      <c r="D630" s="352"/>
    </row>
    <row r="631" ht="15.75" customHeight="1">
      <c r="D631" s="352"/>
    </row>
    <row r="632" ht="15.75" customHeight="1">
      <c r="D632" s="352"/>
    </row>
    <row r="633" ht="15.75" customHeight="1">
      <c r="D633" s="352"/>
    </row>
    <row r="634" ht="15.75" customHeight="1">
      <c r="D634" s="352"/>
    </row>
    <row r="635" ht="15.75" customHeight="1">
      <c r="D635" s="352"/>
    </row>
    <row r="636" ht="15.75" customHeight="1">
      <c r="D636" s="352"/>
    </row>
    <row r="637" ht="15.75" customHeight="1">
      <c r="D637" s="352"/>
    </row>
    <row r="638" ht="15.75" customHeight="1">
      <c r="D638" s="352"/>
    </row>
    <row r="639" ht="15.75" customHeight="1">
      <c r="D639" s="352"/>
    </row>
    <row r="640" ht="15.75" customHeight="1">
      <c r="D640" s="352"/>
    </row>
    <row r="641" ht="15.75" customHeight="1">
      <c r="D641" s="352"/>
    </row>
    <row r="642" ht="15.75" customHeight="1">
      <c r="D642" s="352"/>
    </row>
    <row r="643" ht="15.75" customHeight="1">
      <c r="D643" s="352"/>
    </row>
    <row r="644" ht="15.75" customHeight="1">
      <c r="D644" s="352"/>
    </row>
    <row r="645" ht="15.75" customHeight="1">
      <c r="D645" s="352"/>
    </row>
    <row r="646" ht="15.75" customHeight="1">
      <c r="D646" s="352"/>
    </row>
    <row r="647" ht="15.75" customHeight="1">
      <c r="D647" s="352"/>
    </row>
    <row r="648" ht="15.75" customHeight="1">
      <c r="D648" s="352"/>
    </row>
    <row r="649" ht="15.75" customHeight="1">
      <c r="D649" s="352"/>
    </row>
    <row r="650" ht="15.75" customHeight="1">
      <c r="D650" s="352"/>
    </row>
    <row r="651" ht="15.75" customHeight="1">
      <c r="D651" s="352"/>
    </row>
    <row r="652" ht="15.75" customHeight="1">
      <c r="D652" s="352"/>
    </row>
    <row r="653" ht="15.75" customHeight="1">
      <c r="D653" s="352"/>
    </row>
    <row r="654" ht="15.75" customHeight="1">
      <c r="D654" s="352"/>
    </row>
    <row r="655" ht="15.75" customHeight="1">
      <c r="D655" s="352"/>
    </row>
    <row r="656" ht="15.75" customHeight="1">
      <c r="D656" s="352"/>
    </row>
    <row r="657" ht="15.75" customHeight="1">
      <c r="D657" s="352"/>
    </row>
    <row r="658" ht="15.75" customHeight="1">
      <c r="D658" s="352"/>
    </row>
    <row r="659" ht="15.75" customHeight="1">
      <c r="D659" s="352"/>
    </row>
    <row r="660" ht="15.75" customHeight="1">
      <c r="D660" s="352"/>
    </row>
    <row r="661" ht="15.75" customHeight="1">
      <c r="D661" s="352"/>
    </row>
    <row r="662" ht="15.75" customHeight="1">
      <c r="D662" s="352"/>
    </row>
    <row r="663" ht="15.75" customHeight="1">
      <c r="D663" s="352"/>
    </row>
    <row r="664" ht="15.75" customHeight="1">
      <c r="D664" s="352"/>
    </row>
    <row r="665" ht="15.75" customHeight="1">
      <c r="D665" s="352"/>
    </row>
    <row r="666" ht="15.75" customHeight="1">
      <c r="D666" s="352"/>
    </row>
    <row r="667" ht="15.75" customHeight="1">
      <c r="D667" s="352"/>
    </row>
    <row r="668" ht="15.75" customHeight="1">
      <c r="D668" s="352"/>
    </row>
    <row r="669" ht="15.75" customHeight="1">
      <c r="D669" s="352"/>
    </row>
    <row r="670" ht="15.75" customHeight="1">
      <c r="D670" s="352"/>
    </row>
    <row r="671" ht="15.75" customHeight="1">
      <c r="D671" s="352"/>
    </row>
    <row r="672" ht="15.75" customHeight="1">
      <c r="D672" s="352"/>
    </row>
    <row r="673" ht="15.75" customHeight="1">
      <c r="D673" s="352"/>
    </row>
    <row r="674" ht="15.75" customHeight="1">
      <c r="D674" s="352"/>
    </row>
    <row r="675" ht="15.75" customHeight="1">
      <c r="D675" s="352"/>
    </row>
    <row r="676" ht="15.75" customHeight="1">
      <c r="D676" s="352"/>
    </row>
    <row r="677" ht="15.75" customHeight="1">
      <c r="D677" s="352"/>
    </row>
    <row r="678" ht="15.75" customHeight="1">
      <c r="D678" s="352"/>
    </row>
    <row r="679" ht="15.75" customHeight="1">
      <c r="D679" s="352"/>
    </row>
    <row r="680" ht="15.75" customHeight="1">
      <c r="D680" s="352"/>
    </row>
    <row r="681" ht="15.75" customHeight="1">
      <c r="D681" s="352"/>
    </row>
    <row r="682" ht="15.75" customHeight="1">
      <c r="D682" s="352"/>
    </row>
    <row r="683" ht="15.75" customHeight="1">
      <c r="D683" s="352"/>
    </row>
    <row r="684" ht="15.75" customHeight="1">
      <c r="D684" s="352"/>
    </row>
    <row r="685" ht="15.75" customHeight="1">
      <c r="D685" s="352"/>
    </row>
    <row r="686" ht="15.75" customHeight="1">
      <c r="D686" s="352"/>
    </row>
    <row r="687" ht="15.75" customHeight="1">
      <c r="D687" s="352"/>
    </row>
    <row r="688" ht="15.75" customHeight="1">
      <c r="D688" s="352"/>
    </row>
    <row r="689" ht="15.75" customHeight="1">
      <c r="D689" s="352"/>
    </row>
    <row r="690" ht="15.75" customHeight="1">
      <c r="D690" s="352"/>
    </row>
    <row r="691" ht="15.75" customHeight="1">
      <c r="D691" s="352"/>
    </row>
    <row r="692" ht="15.75" customHeight="1">
      <c r="D692" s="352"/>
    </row>
    <row r="693" ht="15.75" customHeight="1">
      <c r="D693" s="352"/>
    </row>
    <row r="694" ht="15.75" customHeight="1">
      <c r="D694" s="352"/>
    </row>
    <row r="695" ht="15.75" customHeight="1">
      <c r="D695" s="352"/>
    </row>
    <row r="696" ht="15.75" customHeight="1">
      <c r="D696" s="352"/>
    </row>
    <row r="697" ht="15.75" customHeight="1">
      <c r="D697" s="352"/>
    </row>
    <row r="698" ht="15.75" customHeight="1">
      <c r="D698" s="352"/>
    </row>
    <row r="699" ht="15.75" customHeight="1">
      <c r="D699" s="352"/>
    </row>
    <row r="700" ht="15.75" customHeight="1">
      <c r="D700" s="352"/>
    </row>
    <row r="701" ht="15.75" customHeight="1">
      <c r="D701" s="352"/>
    </row>
    <row r="702" ht="15.75" customHeight="1">
      <c r="D702" s="352"/>
    </row>
    <row r="703" ht="15.75" customHeight="1">
      <c r="D703" s="352"/>
    </row>
    <row r="704" ht="15.75" customHeight="1">
      <c r="D704" s="352"/>
    </row>
    <row r="705" ht="15.75" customHeight="1">
      <c r="D705" s="352"/>
    </row>
    <row r="706" ht="15.75" customHeight="1">
      <c r="D706" s="352"/>
    </row>
    <row r="707" ht="15.75" customHeight="1">
      <c r="D707" s="352"/>
    </row>
    <row r="708" ht="15.75" customHeight="1">
      <c r="D708" s="352"/>
    </row>
    <row r="709" ht="15.75" customHeight="1">
      <c r="D709" s="352"/>
    </row>
    <row r="710" ht="15.75" customHeight="1">
      <c r="D710" s="352"/>
    </row>
    <row r="711" ht="15.75" customHeight="1">
      <c r="D711" s="352"/>
    </row>
    <row r="712" ht="15.75" customHeight="1">
      <c r="D712" s="352"/>
    </row>
    <row r="713" ht="15.75" customHeight="1">
      <c r="D713" s="352"/>
    </row>
    <row r="714" ht="15.75" customHeight="1">
      <c r="D714" s="352"/>
    </row>
    <row r="715" ht="15.75" customHeight="1">
      <c r="D715" s="352"/>
    </row>
    <row r="716" ht="15.75" customHeight="1">
      <c r="D716" s="352"/>
    </row>
    <row r="717" ht="15.75" customHeight="1">
      <c r="D717" s="352"/>
    </row>
    <row r="718" ht="15.75" customHeight="1">
      <c r="D718" s="352"/>
    </row>
    <row r="719" ht="15.75" customHeight="1">
      <c r="D719" s="352"/>
    </row>
    <row r="720" ht="15.75" customHeight="1">
      <c r="D720" s="352"/>
    </row>
    <row r="721" ht="15.75" customHeight="1">
      <c r="D721" s="352"/>
    </row>
    <row r="722" ht="15.75" customHeight="1">
      <c r="D722" s="352"/>
    </row>
    <row r="723" ht="15.75" customHeight="1">
      <c r="D723" s="352"/>
    </row>
    <row r="724" ht="15.75" customHeight="1">
      <c r="D724" s="352"/>
    </row>
    <row r="725" ht="15.75" customHeight="1">
      <c r="D725" s="352"/>
    </row>
    <row r="726" ht="15.75" customHeight="1">
      <c r="D726" s="352"/>
    </row>
    <row r="727" ht="15.75" customHeight="1">
      <c r="D727" s="352"/>
    </row>
    <row r="728" ht="15.75" customHeight="1">
      <c r="D728" s="352"/>
    </row>
    <row r="729" ht="15.75" customHeight="1">
      <c r="D729" s="352"/>
    </row>
    <row r="730" ht="15.75" customHeight="1">
      <c r="D730" s="352"/>
    </row>
    <row r="731" ht="15.75" customHeight="1">
      <c r="D731" s="352"/>
    </row>
    <row r="732" ht="15.75" customHeight="1">
      <c r="D732" s="352"/>
    </row>
    <row r="733" ht="15.75" customHeight="1">
      <c r="D733" s="352"/>
    </row>
    <row r="734" ht="15.75" customHeight="1">
      <c r="D734" s="352"/>
    </row>
    <row r="735" ht="15.75" customHeight="1">
      <c r="D735" s="352"/>
    </row>
    <row r="736" ht="15.75" customHeight="1">
      <c r="D736" s="352"/>
    </row>
    <row r="737" ht="15.75" customHeight="1">
      <c r="D737" s="352"/>
    </row>
    <row r="738" ht="15.75" customHeight="1">
      <c r="D738" s="352"/>
    </row>
    <row r="739" ht="15.75" customHeight="1">
      <c r="D739" s="352"/>
    </row>
    <row r="740" ht="15.75" customHeight="1">
      <c r="D740" s="352"/>
    </row>
    <row r="741" ht="15.75" customHeight="1">
      <c r="D741" s="352"/>
    </row>
    <row r="742" ht="15.75" customHeight="1">
      <c r="D742" s="352"/>
    </row>
    <row r="743" ht="15.75" customHeight="1">
      <c r="D743" s="352"/>
    </row>
    <row r="744" ht="15.75" customHeight="1">
      <c r="D744" s="352"/>
    </row>
    <row r="745" ht="15.75" customHeight="1">
      <c r="D745" s="352"/>
    </row>
    <row r="746" ht="15.75" customHeight="1">
      <c r="D746" s="352"/>
    </row>
    <row r="747" ht="15.75" customHeight="1">
      <c r="D747" s="352"/>
    </row>
    <row r="748" ht="15.75" customHeight="1">
      <c r="D748" s="352"/>
    </row>
    <row r="749" ht="15.75" customHeight="1">
      <c r="D749" s="352"/>
    </row>
    <row r="750" ht="15.75" customHeight="1">
      <c r="D750" s="352"/>
    </row>
    <row r="751" ht="15.75" customHeight="1">
      <c r="D751" s="352"/>
    </row>
    <row r="752" ht="15.75" customHeight="1">
      <c r="D752" s="352"/>
    </row>
    <row r="753" ht="15.75" customHeight="1">
      <c r="D753" s="352"/>
    </row>
    <row r="754" ht="15.75" customHeight="1">
      <c r="D754" s="352"/>
    </row>
    <row r="755" ht="15.75" customHeight="1">
      <c r="D755" s="352"/>
    </row>
    <row r="756" ht="15.75" customHeight="1">
      <c r="D756" s="352"/>
    </row>
    <row r="757" ht="15.75" customHeight="1">
      <c r="D757" s="352"/>
    </row>
    <row r="758" ht="15.75" customHeight="1">
      <c r="D758" s="352"/>
    </row>
    <row r="759" ht="15.75" customHeight="1">
      <c r="D759" s="352"/>
    </row>
    <row r="760" ht="15.75" customHeight="1">
      <c r="D760" s="352"/>
    </row>
    <row r="761" ht="15.75" customHeight="1">
      <c r="D761" s="352"/>
    </row>
    <row r="762" ht="15.75" customHeight="1">
      <c r="D762" s="352"/>
    </row>
    <row r="763" ht="15.75" customHeight="1">
      <c r="D763" s="352"/>
    </row>
    <row r="764" ht="15.75" customHeight="1">
      <c r="D764" s="352"/>
    </row>
    <row r="765" ht="15.75" customHeight="1">
      <c r="D765" s="352"/>
    </row>
    <row r="766" ht="15.75" customHeight="1">
      <c r="D766" s="352"/>
    </row>
    <row r="767" ht="15.75" customHeight="1">
      <c r="D767" s="352"/>
    </row>
    <row r="768" ht="15.75" customHeight="1">
      <c r="D768" s="352"/>
    </row>
    <row r="769" ht="15.75" customHeight="1">
      <c r="D769" s="352"/>
    </row>
    <row r="770" ht="15.75" customHeight="1">
      <c r="D770" s="352"/>
    </row>
    <row r="771" ht="15.75" customHeight="1">
      <c r="D771" s="352"/>
    </row>
    <row r="772" ht="15.75" customHeight="1">
      <c r="D772" s="352"/>
    </row>
    <row r="773" ht="15.75" customHeight="1">
      <c r="D773" s="352"/>
    </row>
    <row r="774" ht="15.75" customHeight="1">
      <c r="D774" s="352"/>
    </row>
    <row r="775" ht="15.75" customHeight="1">
      <c r="D775" s="352"/>
    </row>
    <row r="776" ht="15.75" customHeight="1">
      <c r="D776" s="352"/>
    </row>
    <row r="777" ht="15.75" customHeight="1">
      <c r="D777" s="352"/>
    </row>
    <row r="778" ht="15.75" customHeight="1">
      <c r="D778" s="352"/>
    </row>
    <row r="779" ht="15.75" customHeight="1">
      <c r="D779" s="352"/>
    </row>
    <row r="780" ht="15.75" customHeight="1">
      <c r="D780" s="352"/>
    </row>
    <row r="781" ht="15.75" customHeight="1">
      <c r="D781" s="352"/>
    </row>
    <row r="782" ht="15.75" customHeight="1">
      <c r="D782" s="352"/>
    </row>
    <row r="783" ht="15.75" customHeight="1">
      <c r="D783" s="352"/>
    </row>
    <row r="784" ht="15.75" customHeight="1">
      <c r="D784" s="352"/>
    </row>
    <row r="785" ht="15.75" customHeight="1">
      <c r="D785" s="352"/>
    </row>
    <row r="786" ht="15.75" customHeight="1">
      <c r="D786" s="352"/>
    </row>
    <row r="787" ht="15.75" customHeight="1">
      <c r="D787" s="352"/>
    </row>
    <row r="788" ht="15.75" customHeight="1">
      <c r="D788" s="352"/>
    </row>
    <row r="789" ht="15.75" customHeight="1">
      <c r="D789" s="352"/>
    </row>
    <row r="790" ht="15.75" customHeight="1">
      <c r="D790" s="352"/>
    </row>
    <row r="791" ht="15.75" customHeight="1">
      <c r="D791" s="352"/>
    </row>
    <row r="792" ht="15.75" customHeight="1">
      <c r="D792" s="352"/>
    </row>
    <row r="793" ht="15.75" customHeight="1">
      <c r="D793" s="352"/>
    </row>
    <row r="794" ht="15.75" customHeight="1">
      <c r="D794" s="352"/>
    </row>
    <row r="795" ht="15.75" customHeight="1">
      <c r="D795" s="352"/>
    </row>
    <row r="796" ht="15.75" customHeight="1">
      <c r="D796" s="352"/>
    </row>
    <row r="797" ht="15.75" customHeight="1">
      <c r="D797" s="352"/>
    </row>
    <row r="798" ht="15.75" customHeight="1">
      <c r="D798" s="352"/>
    </row>
    <row r="799" ht="15.75" customHeight="1">
      <c r="D799" s="352"/>
    </row>
    <row r="800" ht="15.75" customHeight="1">
      <c r="D800" s="352"/>
    </row>
    <row r="801" ht="15.75" customHeight="1">
      <c r="D801" s="352"/>
    </row>
    <row r="802" ht="15.75" customHeight="1">
      <c r="D802" s="352"/>
    </row>
    <row r="803" ht="15.75" customHeight="1">
      <c r="D803" s="352"/>
    </row>
    <row r="804" ht="15.75" customHeight="1">
      <c r="D804" s="352"/>
    </row>
    <row r="805" ht="15.75" customHeight="1">
      <c r="D805" s="352"/>
    </row>
    <row r="806" ht="15.75" customHeight="1">
      <c r="D806" s="352"/>
    </row>
    <row r="807" ht="15.75" customHeight="1">
      <c r="D807" s="352"/>
    </row>
    <row r="808" ht="15.75" customHeight="1">
      <c r="D808" s="352"/>
    </row>
    <row r="809" ht="15.75" customHeight="1">
      <c r="D809" s="352"/>
    </row>
    <row r="810" ht="15.75" customHeight="1">
      <c r="D810" s="352"/>
    </row>
    <row r="811" ht="15.75" customHeight="1">
      <c r="D811" s="352"/>
    </row>
    <row r="812" ht="15.75" customHeight="1">
      <c r="D812" s="352"/>
    </row>
    <row r="813" ht="15.75" customHeight="1">
      <c r="D813" s="352"/>
    </row>
    <row r="814" ht="15.75" customHeight="1">
      <c r="D814" s="352"/>
    </row>
    <row r="815" ht="15.75" customHeight="1">
      <c r="D815" s="352"/>
    </row>
    <row r="816" ht="15.75" customHeight="1">
      <c r="D816" s="352"/>
    </row>
    <row r="817" ht="15.75" customHeight="1">
      <c r="D817" s="352"/>
    </row>
    <row r="818" ht="15.75" customHeight="1">
      <c r="D818" s="352"/>
    </row>
    <row r="819" ht="15.75" customHeight="1">
      <c r="D819" s="352"/>
    </row>
    <row r="820" ht="15.75" customHeight="1">
      <c r="D820" s="352"/>
    </row>
    <row r="821" ht="15.75" customHeight="1">
      <c r="D821" s="352"/>
    </row>
    <row r="822" ht="15.75" customHeight="1">
      <c r="D822" s="352"/>
    </row>
    <row r="823" ht="15.75" customHeight="1">
      <c r="D823" s="352"/>
    </row>
    <row r="824" ht="15.75" customHeight="1">
      <c r="D824" s="352"/>
    </row>
    <row r="825" ht="15.75" customHeight="1">
      <c r="D825" s="352"/>
    </row>
    <row r="826" ht="15.75" customHeight="1">
      <c r="D826" s="352"/>
    </row>
    <row r="827" ht="15.75" customHeight="1">
      <c r="D827" s="352"/>
    </row>
    <row r="828" ht="15.75" customHeight="1">
      <c r="D828" s="352"/>
    </row>
    <row r="829" ht="15.75" customHeight="1">
      <c r="D829" s="352"/>
    </row>
    <row r="830" ht="15.75" customHeight="1">
      <c r="D830" s="352"/>
    </row>
    <row r="831" ht="15.75" customHeight="1">
      <c r="D831" s="352"/>
    </row>
    <row r="832" ht="15.75" customHeight="1">
      <c r="D832" s="352"/>
    </row>
    <row r="833" ht="15.75" customHeight="1">
      <c r="D833" s="352"/>
    </row>
    <row r="834" ht="15.75" customHeight="1">
      <c r="D834" s="352"/>
    </row>
    <row r="835" ht="15.75" customHeight="1">
      <c r="D835" s="352"/>
    </row>
    <row r="836" ht="15.75" customHeight="1">
      <c r="D836" s="352"/>
    </row>
    <row r="837" ht="15.75" customHeight="1">
      <c r="D837" s="352"/>
    </row>
    <row r="838" ht="15.75" customHeight="1">
      <c r="D838" s="352"/>
    </row>
    <row r="839" ht="15.75" customHeight="1">
      <c r="D839" s="352"/>
    </row>
    <row r="840" ht="15.75" customHeight="1">
      <c r="D840" s="352"/>
    </row>
    <row r="841" ht="15.75" customHeight="1">
      <c r="D841" s="352"/>
    </row>
    <row r="842" ht="15.75" customHeight="1">
      <c r="D842" s="352"/>
    </row>
    <row r="843" ht="15.75" customHeight="1">
      <c r="D843" s="352"/>
    </row>
    <row r="844" ht="15.75" customHeight="1">
      <c r="D844" s="352"/>
    </row>
    <row r="845" ht="15.75" customHeight="1">
      <c r="D845" s="352"/>
    </row>
    <row r="846" ht="15.75" customHeight="1">
      <c r="D846" s="352"/>
    </row>
    <row r="847" ht="15.75" customHeight="1">
      <c r="D847" s="352"/>
    </row>
    <row r="848" ht="15.75" customHeight="1">
      <c r="D848" s="352"/>
    </row>
    <row r="849" ht="15.75" customHeight="1">
      <c r="D849" s="352"/>
    </row>
    <row r="850" ht="15.75" customHeight="1">
      <c r="D850" s="352"/>
    </row>
    <row r="851" ht="15.75" customHeight="1">
      <c r="D851" s="352"/>
    </row>
    <row r="852" ht="15.75" customHeight="1">
      <c r="D852" s="352"/>
    </row>
    <row r="853" ht="15.75" customHeight="1">
      <c r="D853" s="352"/>
    </row>
    <row r="854" ht="15.75" customHeight="1">
      <c r="D854" s="352"/>
    </row>
    <row r="855" ht="15.75" customHeight="1">
      <c r="D855" s="352"/>
    </row>
    <row r="856" ht="15.75" customHeight="1">
      <c r="D856" s="352"/>
    </row>
    <row r="857" ht="15.75" customHeight="1">
      <c r="D857" s="352"/>
    </row>
    <row r="858" ht="15.75" customHeight="1">
      <c r="D858" s="352"/>
    </row>
    <row r="859" ht="15.75" customHeight="1">
      <c r="D859" s="352"/>
    </row>
    <row r="860" ht="15.75" customHeight="1">
      <c r="D860" s="352"/>
    </row>
    <row r="861" ht="15.75" customHeight="1">
      <c r="D861" s="352"/>
    </row>
    <row r="862" ht="15.75" customHeight="1">
      <c r="D862" s="352"/>
    </row>
    <row r="863" ht="15.75" customHeight="1">
      <c r="D863" s="352"/>
    </row>
    <row r="864" ht="15.75" customHeight="1">
      <c r="D864" s="352"/>
    </row>
    <row r="865" ht="15.75" customHeight="1">
      <c r="D865" s="352"/>
    </row>
    <row r="866" ht="15.75" customHeight="1">
      <c r="D866" s="352"/>
    </row>
    <row r="867" ht="15.75" customHeight="1">
      <c r="D867" s="352"/>
    </row>
    <row r="868" ht="15.75" customHeight="1">
      <c r="D868" s="352"/>
    </row>
    <row r="869" ht="15.75" customHeight="1">
      <c r="D869" s="352"/>
    </row>
    <row r="870" ht="15.75" customHeight="1">
      <c r="D870" s="352"/>
    </row>
    <row r="871" ht="15.75" customHeight="1">
      <c r="D871" s="352"/>
    </row>
    <row r="872" ht="15.75" customHeight="1">
      <c r="D872" s="352"/>
    </row>
    <row r="873" ht="15.75" customHeight="1">
      <c r="D873" s="352"/>
    </row>
    <row r="874" ht="15.75" customHeight="1">
      <c r="D874" s="352"/>
    </row>
    <row r="875" ht="15.75" customHeight="1">
      <c r="D875" s="352"/>
    </row>
    <row r="876" ht="15.75" customHeight="1">
      <c r="D876" s="352"/>
    </row>
    <row r="877" ht="15.75" customHeight="1">
      <c r="D877" s="352"/>
    </row>
    <row r="878" ht="15.75" customHeight="1">
      <c r="D878" s="352"/>
    </row>
    <row r="879" ht="15.75" customHeight="1">
      <c r="D879" s="352"/>
    </row>
    <row r="880" ht="15.75" customHeight="1">
      <c r="D880" s="352"/>
    </row>
    <row r="881" ht="15.75" customHeight="1">
      <c r="D881" s="352"/>
    </row>
    <row r="882" ht="15.75" customHeight="1">
      <c r="D882" s="352"/>
    </row>
    <row r="883" ht="15.75" customHeight="1">
      <c r="D883" s="352"/>
    </row>
    <row r="884" ht="15.75" customHeight="1">
      <c r="D884" s="352"/>
    </row>
    <row r="885" ht="15.75" customHeight="1">
      <c r="D885" s="352"/>
    </row>
    <row r="886" ht="15.75" customHeight="1">
      <c r="D886" s="352"/>
    </row>
    <row r="887" ht="15.75" customHeight="1">
      <c r="D887" s="352"/>
    </row>
    <row r="888" ht="15.75" customHeight="1">
      <c r="D888" s="352"/>
    </row>
    <row r="889" ht="15.75" customHeight="1">
      <c r="D889" s="352"/>
    </row>
    <row r="890" ht="15.75" customHeight="1">
      <c r="D890" s="352"/>
    </row>
    <row r="891" ht="15.75" customHeight="1">
      <c r="D891" s="352"/>
    </row>
    <row r="892" ht="15.75" customHeight="1">
      <c r="D892" s="352"/>
    </row>
    <row r="893" ht="15.75" customHeight="1">
      <c r="D893" s="352"/>
    </row>
    <row r="894" ht="15.75" customHeight="1">
      <c r="D894" s="352"/>
    </row>
    <row r="895" ht="15.75" customHeight="1">
      <c r="D895" s="352"/>
    </row>
    <row r="896" ht="15.75" customHeight="1">
      <c r="D896" s="352"/>
    </row>
    <row r="897" ht="15.75" customHeight="1">
      <c r="D897" s="352"/>
    </row>
    <row r="898" ht="15.75" customHeight="1">
      <c r="D898" s="352"/>
    </row>
    <row r="899" ht="15.75" customHeight="1">
      <c r="D899" s="352"/>
    </row>
    <row r="900" ht="15.75" customHeight="1">
      <c r="D900" s="352"/>
    </row>
    <row r="901" ht="15.75" customHeight="1">
      <c r="D901" s="352"/>
    </row>
    <row r="902" ht="15.75" customHeight="1">
      <c r="D902" s="352"/>
    </row>
    <row r="903" ht="15.75" customHeight="1">
      <c r="D903" s="352"/>
    </row>
    <row r="904" ht="15.75" customHeight="1">
      <c r="D904" s="352"/>
    </row>
    <row r="905" ht="15.75" customHeight="1">
      <c r="D905" s="352"/>
    </row>
    <row r="906" ht="15.75" customHeight="1">
      <c r="D906" s="352"/>
    </row>
    <row r="907" ht="15.75" customHeight="1">
      <c r="D907" s="352"/>
    </row>
    <row r="908" ht="15.75" customHeight="1">
      <c r="D908" s="352"/>
    </row>
    <row r="909" ht="15.75" customHeight="1">
      <c r="D909" s="352"/>
    </row>
    <row r="910" ht="15.75" customHeight="1">
      <c r="D910" s="352"/>
    </row>
    <row r="911" ht="15.75" customHeight="1">
      <c r="D911" s="352"/>
    </row>
    <row r="912" ht="15.75" customHeight="1">
      <c r="D912" s="352"/>
    </row>
    <row r="913" ht="15.75" customHeight="1">
      <c r="D913" s="352"/>
    </row>
    <row r="914" ht="15.75" customHeight="1">
      <c r="D914" s="352"/>
    </row>
    <row r="915" ht="15.75" customHeight="1">
      <c r="D915" s="352"/>
    </row>
    <row r="916" ht="15.75" customHeight="1">
      <c r="D916" s="352"/>
    </row>
    <row r="917" ht="15.75" customHeight="1">
      <c r="D917" s="352"/>
    </row>
    <row r="918" ht="15.75" customHeight="1">
      <c r="D918" s="352"/>
    </row>
    <row r="919" ht="15.75" customHeight="1">
      <c r="D919" s="352"/>
    </row>
    <row r="920" ht="15.75" customHeight="1">
      <c r="D920" s="352"/>
    </row>
    <row r="921" ht="15.75" customHeight="1">
      <c r="D921" s="352"/>
    </row>
    <row r="922" ht="15.75" customHeight="1">
      <c r="D922" s="352"/>
    </row>
    <row r="923" ht="15.75" customHeight="1">
      <c r="D923" s="352"/>
    </row>
    <row r="924" ht="15.75" customHeight="1">
      <c r="D924" s="352"/>
    </row>
    <row r="925" ht="15.75" customHeight="1">
      <c r="D925" s="352"/>
    </row>
    <row r="926" ht="15.75" customHeight="1">
      <c r="D926" s="352"/>
    </row>
    <row r="927" ht="15.75" customHeight="1">
      <c r="D927" s="352"/>
    </row>
    <row r="928" ht="15.75" customHeight="1">
      <c r="D928" s="352"/>
    </row>
    <row r="929" ht="15.75" customHeight="1">
      <c r="D929" s="352"/>
    </row>
    <row r="930" ht="15.75" customHeight="1">
      <c r="D930" s="352"/>
    </row>
    <row r="931" ht="15.75" customHeight="1">
      <c r="D931" s="352"/>
    </row>
    <row r="932" ht="15.75" customHeight="1">
      <c r="D932" s="352"/>
    </row>
    <row r="933" ht="15.75" customHeight="1">
      <c r="D933" s="352"/>
    </row>
    <row r="934" ht="15.75" customHeight="1">
      <c r="D934" s="352"/>
    </row>
    <row r="935" ht="15.75" customHeight="1">
      <c r="D935" s="352"/>
    </row>
    <row r="936" ht="15.75" customHeight="1">
      <c r="D936" s="352"/>
    </row>
    <row r="937" ht="15.75" customHeight="1">
      <c r="D937" s="352"/>
    </row>
    <row r="938" ht="15.75" customHeight="1">
      <c r="D938" s="352"/>
    </row>
    <row r="939" ht="15.75" customHeight="1">
      <c r="D939" s="352"/>
    </row>
    <row r="940" ht="15.75" customHeight="1">
      <c r="D940" s="352"/>
    </row>
    <row r="941" ht="15.75" customHeight="1">
      <c r="D941" s="352"/>
    </row>
    <row r="942" ht="15.75" customHeight="1">
      <c r="D942" s="352"/>
    </row>
    <row r="943" ht="15.75" customHeight="1">
      <c r="D943" s="352"/>
    </row>
    <row r="944" ht="15.75" customHeight="1">
      <c r="D944" s="352"/>
    </row>
    <row r="945" ht="15.75" customHeight="1">
      <c r="D945" s="352"/>
    </row>
    <row r="946" ht="15.75" customHeight="1">
      <c r="D946" s="352"/>
    </row>
    <row r="947" ht="15.75" customHeight="1">
      <c r="D947" s="352"/>
    </row>
    <row r="948" ht="15.75" customHeight="1">
      <c r="D948" s="352"/>
    </row>
    <row r="949" ht="15.75" customHeight="1">
      <c r="D949" s="352"/>
    </row>
    <row r="950" ht="15.75" customHeight="1">
      <c r="D950" s="352"/>
    </row>
    <row r="951" ht="15.75" customHeight="1">
      <c r="D951" s="352"/>
    </row>
    <row r="952" ht="15.75" customHeight="1">
      <c r="D952" s="352"/>
    </row>
    <row r="953" ht="15.75" customHeight="1">
      <c r="D953" s="352"/>
    </row>
    <row r="954" ht="15.75" customHeight="1">
      <c r="D954" s="352"/>
    </row>
    <row r="955" ht="15.75" customHeight="1">
      <c r="D955" s="352"/>
    </row>
    <row r="956" ht="15.75" customHeight="1">
      <c r="D956" s="352"/>
    </row>
    <row r="957" ht="15.75" customHeight="1">
      <c r="D957" s="352"/>
    </row>
    <row r="958" ht="15.75" customHeight="1">
      <c r="D958" s="352"/>
    </row>
    <row r="959" ht="15.75" customHeight="1">
      <c r="D959" s="352"/>
    </row>
    <row r="960" ht="15.75" customHeight="1">
      <c r="D960" s="352"/>
    </row>
    <row r="961" ht="15.75" customHeight="1">
      <c r="D961" s="352"/>
    </row>
    <row r="962" ht="15.75" customHeight="1">
      <c r="D962" s="352"/>
    </row>
    <row r="963" ht="15.75" customHeight="1">
      <c r="D963" s="352"/>
    </row>
    <row r="964" ht="15.75" customHeight="1">
      <c r="D964" s="352"/>
    </row>
    <row r="965" ht="15.75" customHeight="1">
      <c r="D965" s="352"/>
    </row>
    <row r="966" ht="15.75" customHeight="1">
      <c r="D966" s="352"/>
    </row>
    <row r="967" ht="15.75" customHeight="1">
      <c r="D967" s="352"/>
    </row>
    <row r="968" ht="15.75" customHeight="1">
      <c r="D968" s="352"/>
    </row>
    <row r="969" ht="15.75" customHeight="1">
      <c r="D969" s="352"/>
    </row>
    <row r="970" ht="15.75" customHeight="1">
      <c r="D970" s="352"/>
    </row>
    <row r="971" ht="15.75" customHeight="1">
      <c r="D971" s="352"/>
    </row>
    <row r="972" ht="15.75" customHeight="1">
      <c r="D972" s="352"/>
    </row>
    <row r="973" ht="15.75" customHeight="1">
      <c r="D973" s="352"/>
    </row>
    <row r="974" ht="15.75" customHeight="1">
      <c r="D974" s="352"/>
    </row>
    <row r="975" ht="15.75" customHeight="1">
      <c r="D975" s="352"/>
    </row>
    <row r="976" ht="15.75" customHeight="1">
      <c r="D976" s="352"/>
    </row>
    <row r="977" ht="15.75" customHeight="1">
      <c r="D977" s="352"/>
    </row>
    <row r="978" ht="15.75" customHeight="1">
      <c r="D978" s="352"/>
    </row>
    <row r="979" ht="15.75" customHeight="1">
      <c r="D979" s="352"/>
    </row>
    <row r="980" ht="15.75" customHeight="1">
      <c r="D980" s="352"/>
    </row>
    <row r="981" ht="15.75" customHeight="1">
      <c r="D981" s="352"/>
    </row>
    <row r="982" ht="15.75" customHeight="1">
      <c r="D982" s="352"/>
    </row>
    <row r="983" ht="15.75" customHeight="1">
      <c r="D983" s="352"/>
    </row>
    <row r="984" ht="15.75" customHeight="1">
      <c r="D984" s="352"/>
    </row>
    <row r="985" ht="15.75" customHeight="1">
      <c r="D985" s="352"/>
    </row>
    <row r="986" ht="15.75" customHeight="1">
      <c r="D986" s="352"/>
    </row>
    <row r="987" ht="15.75" customHeight="1">
      <c r="D987" s="352"/>
    </row>
    <row r="988" ht="15.75" customHeight="1">
      <c r="D988" s="352"/>
    </row>
    <row r="989" ht="15.75" customHeight="1">
      <c r="D989" s="352"/>
    </row>
    <row r="990" ht="15.75" customHeight="1">
      <c r="D990" s="352"/>
    </row>
    <row r="991" ht="15.75" customHeight="1">
      <c r="D991" s="352"/>
    </row>
    <row r="992" ht="15.75" customHeight="1">
      <c r="D992" s="352"/>
    </row>
    <row r="993" ht="15.75" customHeight="1">
      <c r="D993" s="352"/>
    </row>
    <row r="994" ht="15.75" customHeight="1">
      <c r="D994" s="352"/>
    </row>
    <row r="995" ht="15.75" customHeight="1">
      <c r="D995" s="352"/>
    </row>
    <row r="996" ht="15.75" customHeight="1">
      <c r="D996" s="352"/>
    </row>
    <row r="997" ht="15.75" customHeight="1">
      <c r="D997" s="352"/>
    </row>
    <row r="998" ht="15.75" customHeight="1">
      <c r="D998" s="352"/>
    </row>
    <row r="999" ht="15.75" customHeight="1">
      <c r="D999" s="352"/>
    </row>
    <row r="1000" ht="15.75" customHeight="1">
      <c r="D1000" s="352"/>
    </row>
    <row r="1001" ht="15.75" customHeight="1">
      <c r="D1001" s="352"/>
    </row>
    <row r="1002" ht="15.75" customHeight="1">
      <c r="D1002" s="352"/>
    </row>
    <row r="1003" ht="15.75" customHeight="1">
      <c r="D1003" s="352"/>
    </row>
    <row r="1004" ht="15.75" customHeight="1">
      <c r="D1004" s="352"/>
    </row>
  </sheetData>
  <printOptions gridLines="1" horizontalCentered="1"/>
  <pageMargins bottom="0.3212742980561555" footer="0.0" header="0.0" left="0.25" right="0.25" top="0.0734341252699784"/>
  <pageSetup scale="6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9.0"/>
  </cols>
  <sheetData>
    <row r="1" ht="15.75" customHeight="1">
      <c r="A1" s="363" t="s">
        <v>13</v>
      </c>
      <c r="B1" s="363" t="s">
        <v>17</v>
      </c>
      <c r="C1" s="363" t="s">
        <v>8</v>
      </c>
      <c r="D1" s="363" t="s">
        <v>1006</v>
      </c>
      <c r="E1" s="363" t="s">
        <v>12</v>
      </c>
      <c r="F1" s="363" t="s">
        <v>11</v>
      </c>
      <c r="G1" s="363" t="s">
        <v>1015</v>
      </c>
    </row>
    <row r="2" ht="15.75" customHeight="1">
      <c r="A2" s="364" t="s">
        <v>62</v>
      </c>
      <c r="B2" s="364" t="s">
        <v>39</v>
      </c>
      <c r="C2" s="364" t="s">
        <v>67</v>
      </c>
      <c r="D2" s="364" t="s">
        <v>1016</v>
      </c>
      <c r="E2" s="364" t="s">
        <v>61</v>
      </c>
      <c r="F2" s="364" t="s">
        <v>48</v>
      </c>
      <c r="G2" s="364" t="s">
        <v>27</v>
      </c>
    </row>
    <row r="3" ht="15.75" customHeight="1">
      <c r="A3" s="364" t="s">
        <v>30</v>
      </c>
      <c r="B3" s="364" t="s">
        <v>31</v>
      </c>
      <c r="C3" s="364" t="s">
        <v>25</v>
      </c>
      <c r="D3" s="364" t="s">
        <v>1017</v>
      </c>
      <c r="E3" s="364" t="s">
        <v>80</v>
      </c>
      <c r="F3" s="364" t="s">
        <v>73</v>
      </c>
      <c r="G3" s="364" t="s">
        <v>63</v>
      </c>
    </row>
    <row r="4" ht="15.75" customHeight="1">
      <c r="A4" s="365"/>
      <c r="B4" s="365"/>
      <c r="C4" s="365"/>
      <c r="D4" s="365"/>
      <c r="E4" s="364" t="s">
        <v>38</v>
      </c>
      <c r="F4" s="364" t="s">
        <v>28</v>
      </c>
      <c r="G4" s="365"/>
    </row>
    <row r="5" ht="15.75" customHeight="1">
      <c r="A5" s="365"/>
      <c r="B5" s="365"/>
      <c r="C5" s="365"/>
      <c r="D5" s="365"/>
      <c r="E5" s="364" t="s">
        <v>29</v>
      </c>
      <c r="F5" s="364" t="s">
        <v>55</v>
      </c>
      <c r="G5" s="365"/>
    </row>
    <row r="6" ht="15.75" customHeight="1">
      <c r="A6" s="365"/>
      <c r="B6" s="365"/>
      <c r="C6" s="365"/>
      <c r="D6" s="365"/>
      <c r="E6" s="364" t="s">
        <v>49</v>
      </c>
      <c r="F6" s="366" t="s">
        <v>37</v>
      </c>
      <c r="G6" s="365"/>
    </row>
    <row r="7" ht="15.75" customHeight="1">
      <c r="A7" s="365"/>
      <c r="B7" s="365"/>
      <c r="C7" s="365"/>
      <c r="D7" s="365"/>
      <c r="E7" s="364" t="s">
        <v>68</v>
      </c>
      <c r="F7" s="367"/>
      <c r="G7" s="365"/>
    </row>
    <row r="8" ht="15.75" customHeight="1">
      <c r="A8" s="365"/>
      <c r="B8" s="365"/>
      <c r="C8" s="365"/>
      <c r="D8" s="365"/>
      <c r="E8" s="364" t="s">
        <v>56</v>
      </c>
      <c r="F8" s="365"/>
      <c r="G8" s="365"/>
    </row>
    <row r="9" ht="15.75" customHeight="1">
      <c r="A9" s="365"/>
      <c r="B9" s="365"/>
      <c r="C9" s="365"/>
      <c r="D9" s="365"/>
      <c r="E9" s="364" t="s">
        <v>240</v>
      </c>
      <c r="F9" s="365"/>
      <c r="G9" s="365"/>
    </row>
    <row r="10" ht="15.75" customHeight="1">
      <c r="A10" s="365"/>
      <c r="B10" s="365"/>
      <c r="C10" s="365"/>
      <c r="D10" s="365"/>
      <c r="E10" s="364" t="s">
        <v>113</v>
      </c>
      <c r="F10" s="365"/>
      <c r="G10" s="365"/>
    </row>
    <row r="11" ht="15.75" customHeight="1">
      <c r="A11" s="365"/>
      <c r="B11" s="365"/>
      <c r="C11" s="365"/>
      <c r="D11" s="365"/>
      <c r="E11" s="366" t="s">
        <v>205</v>
      </c>
      <c r="F11" s="365"/>
      <c r="G11" s="365"/>
    </row>
    <row r="12" ht="15.75" customHeight="1">
      <c r="A12" s="368"/>
      <c r="B12" s="368"/>
      <c r="C12" s="368"/>
      <c r="D12" s="368"/>
      <c r="E12" s="364" t="s">
        <v>1018</v>
      </c>
      <c r="F12" s="368"/>
      <c r="G12" s="368"/>
    </row>
    <row r="13" ht="15.75" customHeight="1">
      <c r="A13" s="368"/>
      <c r="B13" s="368"/>
      <c r="C13" s="368"/>
      <c r="D13" s="368"/>
      <c r="E13" s="369"/>
      <c r="F13" s="368"/>
      <c r="G13" s="368"/>
    </row>
    <row r="14" ht="15.75" customHeight="1">
      <c r="A14" s="368"/>
      <c r="B14" s="368"/>
      <c r="C14" s="368"/>
      <c r="D14" s="368"/>
      <c r="E14" s="369"/>
      <c r="F14" s="368"/>
      <c r="G14" s="36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